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nduent-my.sharepoint.com/personal/anilkumar_khamari_conduent_com/Documents/Work/RM/Release Calendar/2026/"/>
    </mc:Choice>
  </mc:AlternateContent>
  <xr:revisionPtr revIDLastSave="2" documentId="8_{A3E195CF-8F08-4D7C-B711-69D4D02ECEDA}" xr6:coauthVersionLast="47" xr6:coauthVersionMax="47" xr10:uidLastSave="{964DCDCD-3156-4371-ABF9-01B002B34190}"/>
  <bookViews>
    <workbookView xWindow="-110" yWindow="-110" windowWidth="19420" windowHeight="10300" xr2:uid="{00000000-000D-0000-FFFF-FFFF00000000}"/>
  </bookViews>
  <sheets>
    <sheet name="Release Cal" sheetId="86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" i="86" l="1"/>
  <c r="C136" i="86"/>
  <c r="B136" i="86"/>
  <c r="D135" i="86"/>
  <c r="C135" i="86"/>
  <c r="B135" i="86"/>
  <c r="D134" i="86"/>
  <c r="C134" i="86"/>
  <c r="B134" i="86"/>
  <c r="D133" i="86"/>
  <c r="C133" i="86"/>
  <c r="B133" i="86"/>
  <c r="D132" i="86"/>
  <c r="C132" i="86"/>
  <c r="B132" i="86"/>
  <c r="D131" i="86"/>
  <c r="C131" i="86"/>
  <c r="B131" i="86"/>
  <c r="D130" i="86"/>
  <c r="C130" i="86"/>
  <c r="B130" i="86"/>
  <c r="D129" i="86"/>
  <c r="C129" i="86"/>
  <c r="B129" i="86"/>
  <c r="D128" i="86"/>
  <c r="C128" i="86"/>
  <c r="B128" i="86"/>
  <c r="D127" i="86"/>
  <c r="C127" i="86"/>
  <c r="B127" i="86"/>
  <c r="D126" i="86"/>
  <c r="C126" i="86"/>
  <c r="B126" i="86"/>
  <c r="B125" i="86"/>
  <c r="D124" i="86"/>
  <c r="C124" i="86"/>
  <c r="B124" i="86"/>
  <c r="D123" i="86"/>
  <c r="C123" i="86"/>
  <c r="B123" i="86"/>
  <c r="D122" i="86"/>
  <c r="C122" i="86"/>
  <c r="B122" i="86"/>
  <c r="D121" i="86"/>
  <c r="C121" i="86"/>
  <c r="B121" i="86"/>
  <c r="D120" i="86"/>
  <c r="C120" i="86"/>
  <c r="B120" i="86"/>
  <c r="D119" i="86"/>
  <c r="C119" i="86"/>
  <c r="B119" i="86"/>
  <c r="D118" i="86"/>
  <c r="C118" i="86"/>
  <c r="B118" i="86"/>
  <c r="D117" i="86"/>
  <c r="C117" i="86"/>
  <c r="B117" i="86"/>
  <c r="H95" i="86"/>
  <c r="D95" i="86"/>
  <c r="H94" i="86"/>
  <c r="C95" i="86"/>
  <c r="B95" i="86"/>
  <c r="D94" i="86"/>
  <c r="H93" i="86"/>
  <c r="C94" i="86"/>
  <c r="B94" i="86"/>
  <c r="D93" i="86"/>
  <c r="C93" i="86"/>
  <c r="B93" i="86"/>
  <c r="H92" i="86"/>
  <c r="D92" i="86"/>
  <c r="H91" i="86"/>
  <c r="C92" i="86"/>
  <c r="B92" i="86"/>
  <c r="D91" i="86"/>
  <c r="C91" i="86"/>
  <c r="B91" i="86"/>
  <c r="H90" i="86"/>
  <c r="D90" i="86"/>
  <c r="C90" i="86"/>
  <c r="B90" i="86"/>
  <c r="H89" i="86"/>
  <c r="D89" i="86"/>
  <c r="H88" i="86"/>
  <c r="C89" i="86"/>
  <c r="B89" i="86"/>
  <c r="D88" i="86"/>
  <c r="C88" i="86"/>
  <c r="B88" i="86"/>
  <c r="H87" i="86"/>
  <c r="G87" i="86"/>
  <c r="E87" i="86"/>
  <c r="D87" i="86"/>
  <c r="H86" i="86"/>
  <c r="C87" i="86"/>
  <c r="B87" i="86"/>
  <c r="G86" i="86"/>
  <c r="E86" i="86"/>
  <c r="D86" i="86"/>
  <c r="C86" i="86"/>
  <c r="B86" i="86"/>
  <c r="H85" i="86"/>
  <c r="G85" i="86"/>
  <c r="E85" i="86"/>
  <c r="D85" i="86"/>
  <c r="H84" i="86"/>
  <c r="C85" i="86"/>
  <c r="B85" i="86"/>
  <c r="G84" i="86"/>
  <c r="E84" i="86"/>
  <c r="D84" i="86"/>
  <c r="C84" i="86"/>
  <c r="B84" i="86"/>
  <c r="H83" i="86"/>
  <c r="G83" i="86"/>
  <c r="E83" i="86"/>
  <c r="D83" i="86"/>
  <c r="H82" i="86"/>
  <c r="C83" i="86"/>
  <c r="B83" i="86"/>
  <c r="G82" i="86"/>
  <c r="E82" i="86"/>
  <c r="D82" i="86"/>
  <c r="C82" i="86"/>
  <c r="B82" i="86"/>
  <c r="H81" i="86"/>
  <c r="G81" i="86"/>
  <c r="E81" i="86"/>
  <c r="D81" i="86"/>
  <c r="H80" i="86"/>
  <c r="C81" i="86"/>
  <c r="B81" i="86"/>
  <c r="G80" i="86"/>
  <c r="E80" i="86"/>
  <c r="D80" i="86"/>
  <c r="E79" i="86"/>
  <c r="D79" i="86"/>
  <c r="C79" i="86"/>
  <c r="B79" i="86"/>
  <c r="H78" i="86"/>
  <c r="G78" i="86"/>
  <c r="E78" i="86"/>
  <c r="D78" i="86"/>
  <c r="H77" i="86"/>
  <c r="C78" i="86"/>
  <c r="B78" i="86"/>
  <c r="D77" i="86"/>
  <c r="C77" i="86"/>
  <c r="B77" i="86"/>
  <c r="G76" i="86"/>
  <c r="E76" i="86"/>
  <c r="D76" i="86"/>
  <c r="C76" i="86"/>
  <c r="E75" i="86"/>
  <c r="D75" i="86"/>
  <c r="C75" i="86"/>
  <c r="E74" i="86"/>
  <c r="D74" i="86"/>
  <c r="C74" i="86"/>
  <c r="E73" i="86"/>
  <c r="D73" i="86"/>
  <c r="C73" i="86"/>
  <c r="E72" i="86"/>
  <c r="D72" i="86"/>
  <c r="C72" i="86"/>
  <c r="E71" i="86"/>
  <c r="D71" i="86"/>
  <c r="C71" i="86"/>
  <c r="E70" i="86"/>
  <c r="D70" i="86"/>
  <c r="C70" i="86"/>
  <c r="E69" i="86"/>
  <c r="D69" i="86"/>
  <c r="C69" i="86"/>
  <c r="E68" i="86"/>
  <c r="D68" i="86"/>
  <c r="C68" i="86"/>
  <c r="E67" i="86"/>
  <c r="D67" i="86"/>
  <c r="C67" i="86"/>
  <c r="E66" i="86"/>
  <c r="D66" i="86"/>
  <c r="C66" i="86"/>
  <c r="E65" i="86"/>
  <c r="D65" i="86"/>
  <c r="C65" i="86"/>
  <c r="E64" i="86"/>
  <c r="C64" i="86"/>
  <c r="K63" i="86"/>
  <c r="D64" i="86"/>
  <c r="H63" i="86"/>
  <c r="D63" i="86"/>
  <c r="K62" i="86"/>
  <c r="H62" i="86"/>
  <c r="C63" i="86"/>
  <c r="B63" i="86"/>
  <c r="D62" i="86"/>
  <c r="K61" i="86"/>
  <c r="H61" i="86"/>
  <c r="C62" i="86"/>
  <c r="B62" i="86"/>
  <c r="D61" i="86"/>
  <c r="C61" i="86"/>
  <c r="B61" i="86"/>
  <c r="K60" i="86"/>
  <c r="H60" i="86"/>
  <c r="D60" i="86"/>
  <c r="C60" i="86"/>
  <c r="B60" i="86"/>
  <c r="K59" i="86"/>
  <c r="H59" i="86"/>
  <c r="D59" i="86"/>
  <c r="C59" i="86"/>
  <c r="B59" i="86"/>
  <c r="D58" i="86"/>
  <c r="C58" i="86"/>
  <c r="B58" i="86"/>
  <c r="K57" i="86"/>
  <c r="H57" i="86"/>
  <c r="D57" i="86"/>
  <c r="C57" i="86"/>
  <c r="B57" i="86"/>
  <c r="K56" i="86"/>
  <c r="H56" i="86"/>
  <c r="C56" i="86"/>
  <c r="B56" i="86"/>
  <c r="K55" i="86"/>
  <c r="D56" i="86"/>
  <c r="H55" i="86"/>
  <c r="D55" i="86"/>
  <c r="K54" i="86"/>
  <c r="H54" i="86"/>
  <c r="C55" i="86"/>
  <c r="B55" i="86"/>
  <c r="H53" i="86"/>
  <c r="C54" i="86"/>
  <c r="B54" i="86"/>
  <c r="C53" i="86"/>
  <c r="B53" i="86"/>
  <c r="G77" i="86"/>
  <c r="E77" i="86"/>
</calcChain>
</file>

<file path=xl/sharedStrings.xml><?xml version="1.0" encoding="utf-8"?>
<sst xmlns="http://schemas.openxmlformats.org/spreadsheetml/2006/main" count="718" uniqueCount="377">
  <si>
    <t>ND.02.03.83.00</t>
  </si>
  <si>
    <t>ND.02.03.84.00</t>
  </si>
  <si>
    <t>ND.02.03.85.00</t>
  </si>
  <si>
    <t>ND.02.03.86.00</t>
  </si>
  <si>
    <t>ND.02.03.87.00</t>
  </si>
  <si>
    <t>ND.02.03.88.00</t>
  </si>
  <si>
    <t>ND.02.03.88.03</t>
  </si>
  <si>
    <t>ND.02.03.89.00</t>
  </si>
  <si>
    <t>ND.02.03.90.00</t>
  </si>
  <si>
    <t>ND.02.03.90.01</t>
  </si>
  <si>
    <t>ND.02.03.91.00</t>
  </si>
  <si>
    <t>ND.02.03.92.00</t>
  </si>
  <si>
    <t>ND.02.03.93.00</t>
  </si>
  <si>
    <t>ND.02.03.94.00</t>
  </si>
  <si>
    <t>ND.02.03.95.00</t>
  </si>
  <si>
    <t>ND.02.03.96.00</t>
  </si>
  <si>
    <t>ND.02.03.97.00</t>
  </si>
  <si>
    <t>ND.02.03.98.00</t>
  </si>
  <si>
    <t>ND.02.03.99.00</t>
  </si>
  <si>
    <t>ND.02.04.00.00</t>
  </si>
  <si>
    <t>ND.02.04.01.00</t>
  </si>
  <si>
    <t>ND.02.04.02.00</t>
  </si>
  <si>
    <t>ND.02.04.03.00</t>
  </si>
  <si>
    <t>ND.02.04.04.00</t>
  </si>
  <si>
    <t>ND.02.04.06.00</t>
  </si>
  <si>
    <t>ND.02.04.07.00</t>
  </si>
  <si>
    <t>ND.02.04.08.00</t>
  </si>
  <si>
    <t>ND.02.04.08.01</t>
  </si>
  <si>
    <t>ND.02.04.09.00</t>
  </si>
  <si>
    <t>ND.02.04.10.00</t>
  </si>
  <si>
    <t>ND.02.04.11.00</t>
  </si>
  <si>
    <t>ND.02.04.12.00</t>
  </si>
  <si>
    <t>ND.02.05.01.00</t>
  </si>
  <si>
    <t>ND.02.05.03.00</t>
  </si>
  <si>
    <t>ND.02.05.05.00</t>
  </si>
  <si>
    <t>ND.02.05.06.00</t>
  </si>
  <si>
    <t>ND.02.05.07.00</t>
  </si>
  <si>
    <t>ND.02.05.08.00</t>
  </si>
  <si>
    <t>ND.02.05.09.00</t>
  </si>
  <si>
    <t>ND.02.05.10.00</t>
  </si>
  <si>
    <t>ND.02.05.11.00</t>
  </si>
  <si>
    <t>ND.02.05.11.01</t>
  </si>
  <si>
    <t>ND.02.05.12.00</t>
  </si>
  <si>
    <t>ND.02.06.01.00</t>
  </si>
  <si>
    <t>ND.02.06.02.00</t>
  </si>
  <si>
    <t>ND.02.06.03.00</t>
  </si>
  <si>
    <t>ND.02.06.04.00</t>
  </si>
  <si>
    <t>ND.02.06.05.00</t>
  </si>
  <si>
    <t>ND.02.06.06.00</t>
  </si>
  <si>
    <t>ND.02.06.07.00</t>
  </si>
  <si>
    <t>ND.02.06.08.00</t>
  </si>
  <si>
    <t>ND.02.06.09.00</t>
  </si>
  <si>
    <t>ND.02.06.10.00</t>
  </si>
  <si>
    <t>ND.02.06.11.00</t>
  </si>
  <si>
    <t>ND.02.06.12.00</t>
  </si>
  <si>
    <t>ND.02.07.01.00</t>
  </si>
  <si>
    <t>ND.02.07.02.00</t>
  </si>
  <si>
    <t>ND.02.07.03.00</t>
  </si>
  <si>
    <t>ND.02.07.04.00</t>
  </si>
  <si>
    <t>ND.02.07.05.00</t>
  </si>
  <si>
    <t>ND.02.07.06.00</t>
  </si>
  <si>
    <t>ND.02.07.07.00</t>
  </si>
  <si>
    <t>ND.02.07.08.00</t>
  </si>
  <si>
    <t>ND.02.07.09.00</t>
  </si>
  <si>
    <t>ND.02.07.10.00</t>
  </si>
  <si>
    <t>ND.02.07.11.00</t>
  </si>
  <si>
    <t>ND.02.07.12.00</t>
  </si>
  <si>
    <t>ND.02.08.01.00</t>
  </si>
  <si>
    <t>ND.02.08.02.00</t>
  </si>
  <si>
    <t>ND.02.08.03.00</t>
  </si>
  <si>
    <t>ND.02.08.04.00</t>
  </si>
  <si>
    <t>ND.02.08.05.00</t>
  </si>
  <si>
    <t>ND.02.08.06.00</t>
  </si>
  <si>
    <t>ND.02.08.07.00</t>
  </si>
  <si>
    <t>ND.02.08.08.00</t>
  </si>
  <si>
    <t>ND.02.08.09.00</t>
  </si>
  <si>
    <t>ND.02.08.10.00</t>
  </si>
  <si>
    <t>ND.02.08.11.00</t>
  </si>
  <si>
    <t>ND.02.08.12.00</t>
  </si>
  <si>
    <t>ND.02.09.01.00</t>
  </si>
  <si>
    <t>ND.02.09.02.00</t>
  </si>
  <si>
    <t>ND.02.09.03.00</t>
  </si>
  <si>
    <t>ND.02.09.04.00</t>
  </si>
  <si>
    <t>ND.02.09.06.00</t>
  </si>
  <si>
    <t>ND.02.09.07.00</t>
  </si>
  <si>
    <t>ND.02.09.08.00</t>
  </si>
  <si>
    <t>ND.02.09.09.00</t>
  </si>
  <si>
    <t>ND.02.09.10.00</t>
  </si>
  <si>
    <t>ND.02.09.11.00</t>
  </si>
  <si>
    <t>ND.02.09.12.00</t>
  </si>
  <si>
    <t>ND.02.10.01.00</t>
  </si>
  <si>
    <t>ND.02.10.02.00</t>
  </si>
  <si>
    <t>ND.02.10.03.00</t>
  </si>
  <si>
    <t>ND.02.10.04.00</t>
  </si>
  <si>
    <t>ND.02.10.05.00</t>
  </si>
  <si>
    <t>ND.02.10.06.00</t>
  </si>
  <si>
    <t>ND.02.10.07.00</t>
  </si>
  <si>
    <t>ND.02.10.08.00</t>
  </si>
  <si>
    <t>ND.02.10.09.00</t>
  </si>
  <si>
    <t>ND.02.10.10.00</t>
  </si>
  <si>
    <t>ND.02.10.11.00</t>
  </si>
  <si>
    <t>ND.02.10.12.00</t>
  </si>
  <si>
    <t>ND.02.11.01.00</t>
  </si>
  <si>
    <t>ND.02.11.02.00</t>
  </si>
  <si>
    <t>ND.02.11.03.00</t>
  </si>
  <si>
    <t>ND.02.11.04.00</t>
  </si>
  <si>
    <t>ND.02.11.06.00</t>
  </si>
  <si>
    <t>MMIS Release</t>
  </si>
  <si>
    <t>Release - Defects &amp; CR Scope 
Freeze</t>
  </si>
  <si>
    <t>Development      Start</t>
  </si>
  <si>
    <t>Development          Code Check-In</t>
  </si>
  <si>
    <t>Code Cut-Off (Week2)</t>
  </si>
  <si>
    <t xml:space="preserve">Deploy - ment
 to 76 </t>
  </si>
  <si>
    <t>SIT 
Deployment
Cutoff
(Week2)</t>
  </si>
  <si>
    <r>
      <t xml:space="preserve">SIT Regression Testing Start
(Week1)
</t>
    </r>
    <r>
      <rPr>
        <sz val="10"/>
        <color indexed="10"/>
        <rFont val="Calibri"/>
        <family val="2"/>
      </rPr>
      <t>Deployments Allowed</t>
    </r>
  </si>
  <si>
    <r>
      <t xml:space="preserve">SIT Regression Testing Complete
(Week2)
</t>
    </r>
    <r>
      <rPr>
        <sz val="10"/>
        <color indexed="10"/>
        <rFont val="Calibri"/>
        <family val="2"/>
      </rPr>
      <t xml:space="preserve">No Deployments </t>
    </r>
  </si>
  <si>
    <t>UAT Deployment
(Week1)</t>
  </si>
  <si>
    <t>UAT BF
(Week1)</t>
  </si>
  <si>
    <t>UAT End Date</t>
  </si>
  <si>
    <t>Go No-Go Decision</t>
  </si>
  <si>
    <t>Production Deployment (Week2)</t>
  </si>
  <si>
    <t>Daily</t>
  </si>
  <si>
    <t>ND.02.03.88.01</t>
  </si>
  <si>
    <t>NA</t>
  </si>
  <si>
    <t>ND.02.03.88.02</t>
  </si>
  <si>
    <t>ND.02.03.88.04</t>
  </si>
  <si>
    <t>ND.02.03.89.01</t>
  </si>
  <si>
    <t>07-Nov-17    Tue</t>
  </si>
  <si>
    <t>08-Nov-17    Wed</t>
  </si>
  <si>
    <t xml:space="preserve">
ENC Ph 2 &amp;
ND.02.04.05.00</t>
  </si>
  <si>
    <t>04-Jun-18 Mon</t>
  </si>
  <si>
    <t>06-Jun-18 Wed</t>
  </si>
  <si>
    <t>01-Oct-18 Mon  03-Oct 18 Wed</t>
  </si>
  <si>
    <t>ND.02.05.02.00</t>
  </si>
  <si>
    <t>Super Release ND.02.05.04.00</t>
  </si>
  <si>
    <t>12-Nov-19 Tue</t>
  </si>
  <si>
    <t>13-Nov-19 Wed</t>
  </si>
  <si>
    <t>14-Nov-19 Thu</t>
  </si>
  <si>
    <t>23-Oct-19 Wed</t>
  </si>
  <si>
    <t>6-Dec-19 Fri</t>
  </si>
  <si>
    <t>16-Dec-20 Wed</t>
  </si>
  <si>
    <t>17-Dec-20 Thu</t>
  </si>
  <si>
    <t>29-Dec-20 Tue</t>
  </si>
  <si>
    <t>30-Dec-20 Wed</t>
  </si>
  <si>
    <t>12-Jan-21 Tue</t>
  </si>
  <si>
    <t>13-Jan-21 Wed</t>
  </si>
  <si>
    <t>14-Jan-21 Thu</t>
  </si>
  <si>
    <t>25-Jan-21 Mon</t>
  </si>
  <si>
    <t>26-Jan-21 Tue</t>
  </si>
  <si>
    <t>9-Feb-21 Tue</t>
  </si>
  <si>
    <t>10-Feb-21 Wed</t>
  </si>
  <si>
    <t>11-Feb-21 Thu</t>
  </si>
  <si>
    <t>23-Feb-21 Tue</t>
  </si>
  <si>
    <t>24-Feb-21 Wed</t>
  </si>
  <si>
    <t>9-Mar-21 Tue</t>
  </si>
  <si>
    <t>10-Mar-21 Wed</t>
  </si>
  <si>
    <t>11-Mar-21 Thu</t>
  </si>
  <si>
    <t>23-Mar-21 Tue</t>
  </si>
  <si>
    <t>24-Mar-21 Wed</t>
  </si>
  <si>
    <t>6 - Apr - 21 Tue</t>
  </si>
  <si>
    <t>7 - Apr - 21 Wed</t>
  </si>
  <si>
    <t>8-Apr-21 Thu</t>
  </si>
  <si>
    <t>14-Apr-21 Wed</t>
  </si>
  <si>
    <t>15-Apr-21 Thu</t>
  </si>
  <si>
    <t>27-Apr-21 Tue</t>
  </si>
  <si>
    <t>28-Apr-21 Wed</t>
  </si>
  <si>
    <t>11-May-21 Tue</t>
  </si>
  <si>
    <t>12-May-21 Wed</t>
  </si>
  <si>
    <t>13-May-21 Thu</t>
  </si>
  <si>
    <t>25-May-21 Tue</t>
  </si>
  <si>
    <t>26-May-21 Wed</t>
  </si>
  <si>
    <t>8 - Jun - 21 Tue</t>
  </si>
  <si>
    <t>9 - Jun - 21 Wed</t>
  </si>
  <si>
    <t>10-Jun-21 Thu</t>
  </si>
  <si>
    <t>9-Jun-21 Wed</t>
  </si>
  <si>
    <t>22-Jun-21 Tue</t>
  </si>
  <si>
    <t>23-Jun-21 Wed</t>
  </si>
  <si>
    <t>6 - Jul - 21 Tue</t>
  </si>
  <si>
    <t>7 - Jul - 21 Wed</t>
  </si>
  <si>
    <t>8- Jul-21 Thu</t>
  </si>
  <si>
    <t>14-Jul-21 Wed</t>
  </si>
  <si>
    <t>15-Jul-21 Thu</t>
  </si>
  <si>
    <t>27-Jul-21 Tue</t>
  </si>
  <si>
    <t>28-Jul-21 Wed</t>
  </si>
  <si>
    <t>10 - Aug - 21 Tue</t>
  </si>
  <si>
    <t>11 - Aug - 21 Wed</t>
  </si>
  <si>
    <t>12 -Aug-21 Thu</t>
  </si>
  <si>
    <t>11-Aug-21 Wed</t>
  </si>
  <si>
    <t>12-Aug-21 Thu</t>
  </si>
  <si>
    <t>24-Aug-21 Tue</t>
  </si>
  <si>
    <t>25-Aug-21 Wed</t>
  </si>
  <si>
    <t>7 - Sep - 21 Tue</t>
  </si>
  <si>
    <t>8 -Sep- 21 Wed</t>
  </si>
  <si>
    <t>15-Sep-21 Wed</t>
  </si>
  <si>
    <t>16-Sep-21 Thu</t>
  </si>
  <si>
    <t>28-Sep-21 Tue</t>
  </si>
  <si>
    <t>29-Sep-21 Wed</t>
  </si>
  <si>
    <t>12 - Oct - 21 Tue</t>
  </si>
  <si>
    <t>13- Oct-21 Wed</t>
  </si>
  <si>
    <t>13-Oct-21 Wed</t>
  </si>
  <si>
    <t>14-Oct-21 Thu</t>
  </si>
  <si>
    <t>26-Oct-21 Tue</t>
  </si>
  <si>
    <t>27-Oct-21 Wed</t>
  </si>
  <si>
    <t>9 - Nov - 21 Tue</t>
  </si>
  <si>
    <t>10 - Nov - 21 Wed</t>
  </si>
  <si>
    <t>11-Nov-21 Thu</t>
  </si>
  <si>
    <t>17-Nov-21 Wed</t>
  </si>
  <si>
    <t>18-Nov-21 Thu</t>
  </si>
  <si>
    <t>30-Nov-21 Tue</t>
  </si>
  <si>
    <t>01-Dec-21 Wed</t>
  </si>
  <si>
    <t>14- Dec-21 Tue</t>
  </si>
  <si>
    <t>15 - Dec - 21 Wed</t>
  </si>
  <si>
    <t>16-Dec-21 Thu</t>
  </si>
  <si>
    <t>9-Mar-22 Wed</t>
  </si>
  <si>
    <t>10-Mar-22 Thu</t>
  </si>
  <si>
    <t>ND.02.09.05.00</t>
  </si>
  <si>
    <t>14-Jun-23 Wed</t>
  </si>
  <si>
    <t>15-Jun-23 Thu</t>
  </si>
  <si>
    <t>28-Jun-23 Wed</t>
  </si>
  <si>
    <t>8-Nov-23 Wed</t>
  </si>
  <si>
    <t>13-Dec-23 Wed</t>
  </si>
  <si>
    <t>14-Dec-23 Thu</t>
  </si>
  <si>
    <t>26-Dec-23 Tue</t>
  </si>
  <si>
    <t>27-Dec-23 Wed</t>
  </si>
  <si>
    <t>9-Jan-24 Tue</t>
  </si>
  <si>
    <t>10-Jan-24 Wed</t>
  </si>
  <si>
    <t>11-Jan-24 Thu</t>
  </si>
  <si>
    <t>23-Jan-24 Tue</t>
  </si>
  <si>
    <t>24-Jan-24 Wed</t>
  </si>
  <si>
    <t>6-Feb-24 Tue</t>
  </si>
  <si>
    <t>7-Feb-24 Wed</t>
  </si>
  <si>
    <t>8-Feb-24 Thu</t>
  </si>
  <si>
    <t>14-Feb-24 Wed</t>
  </si>
  <si>
    <t>15-Feb-24 Thu</t>
  </si>
  <si>
    <t>27-Feb-24 Tue</t>
  </si>
  <si>
    <t>28-Feb-24 Wed</t>
  </si>
  <si>
    <t>12-Mar-24 Tue</t>
  </si>
  <si>
    <t>13-Mar-24 Wed</t>
  </si>
  <si>
    <t>14-Mar-24 Thu</t>
  </si>
  <si>
    <t>26-Mar-24 Tue</t>
  </si>
  <si>
    <t>27-Mar-24 Wed</t>
  </si>
  <si>
    <t>9-Apr-24 Tue</t>
  </si>
  <si>
    <t>10-Apr-24 Wed</t>
  </si>
  <si>
    <t>11-Apr-24 Thu</t>
  </si>
  <si>
    <t>23-Apr-24 Tue</t>
  </si>
  <si>
    <t>24-Apr-24 Wed</t>
  </si>
  <si>
    <t>14-May-24 Tue</t>
  </si>
  <si>
    <t>15-May-24 Wed</t>
  </si>
  <si>
    <t>16-May-24 Thu</t>
  </si>
  <si>
    <t>28-May-24 Tue</t>
  </si>
  <si>
    <t>29-May-24 Wed</t>
  </si>
  <si>
    <t>11-Jun-24 Tue</t>
  </si>
  <si>
    <t>12-Jun-24 Wed</t>
  </si>
  <si>
    <t>13-Jun-24 Thu</t>
  </si>
  <si>
    <t>25-Jun-24 Tue</t>
  </si>
  <si>
    <t>26-Jun-24 Wed</t>
  </si>
  <si>
    <t>9-Jul-24 Tue</t>
  </si>
  <si>
    <t>10-Jul-24 Wed</t>
  </si>
  <si>
    <t>11-Jul-24 Thu</t>
  </si>
  <si>
    <t>23-Jul-24 Tue</t>
  </si>
  <si>
    <t>24-Jul-24 Wed</t>
  </si>
  <si>
    <t>6-Aug-24 Tue</t>
  </si>
  <si>
    <t>7-Aug-24 Wed</t>
  </si>
  <si>
    <t>8-Aug-24 Thu</t>
  </si>
  <si>
    <t>14-Aug-24 Wed</t>
  </si>
  <si>
    <t>15-Aug-24 Thu</t>
  </si>
  <si>
    <t>27-Aug-24 Tue</t>
  </si>
  <si>
    <t>28-Aug-24 Wed</t>
  </si>
  <si>
    <t>10-Sep-24 Tue</t>
  </si>
  <si>
    <t>11-Sep-24 Wed</t>
  </si>
  <si>
    <t>12-Sep-24 Thu</t>
  </si>
  <si>
    <t>24-Sep-24 Tue</t>
  </si>
  <si>
    <t>25-Sep-24 Wed</t>
  </si>
  <si>
    <t>8-Oct-24 Tue</t>
  </si>
  <si>
    <t>9-Oct-24 Wed</t>
  </si>
  <si>
    <t>10-Oct-24 Thu</t>
  </si>
  <si>
    <t>16-Oct-24 Wed</t>
  </si>
  <si>
    <t>17-Oct-24 Thu</t>
  </si>
  <si>
    <t>29-Oct-24 Tue</t>
  </si>
  <si>
    <t>30-Oct-24 Wed</t>
  </si>
  <si>
    <t>12-Nov-24 Tue</t>
  </si>
  <si>
    <t>13-Nov-24 Wed</t>
  </si>
  <si>
    <t>14-Nov-24 Thu</t>
  </si>
  <si>
    <t>26-Nov-24 Tue</t>
  </si>
  <si>
    <t>27-Nov-24 Wed</t>
  </si>
  <si>
    <t>10-Dec-24 Tue</t>
  </si>
  <si>
    <t>11-Dec-24 Wed</t>
  </si>
  <si>
    <t>12-Dec-24 Thu</t>
  </si>
  <si>
    <t>23-Dec-24 Mon</t>
  </si>
  <si>
    <t>24-Dec-24 Tue</t>
  </si>
  <si>
    <t>14-Jan-25 Tue</t>
  </si>
  <si>
    <t>15-Jan-25 Wed</t>
  </si>
  <si>
    <t>12-Feb-25 Wed</t>
  </si>
  <si>
    <t>13-Feb-25 Thu</t>
  </si>
  <si>
    <t>25-Feb-25 Tue</t>
  </si>
  <si>
    <t>26-Feb-25 Wed</t>
  </si>
  <si>
    <t>11-Mar-25 Tue</t>
  </si>
  <si>
    <t>12-Mar-25 Wed</t>
  </si>
  <si>
    <t>13-Mar-25 Thu</t>
  </si>
  <si>
    <t>25-Mar-25 Tue</t>
  </si>
  <si>
    <t>26-Mar-25 Wed</t>
  </si>
  <si>
    <t>8-Apr-25 Tue</t>
  </si>
  <si>
    <t>9-Apr-25 Wed</t>
  </si>
  <si>
    <t>10-Apr-25 Thu</t>
  </si>
  <si>
    <t>ND.02.11.05.00</t>
  </si>
  <si>
    <t>16-Apr-25 Wed</t>
  </si>
  <si>
    <t>17-Apr-25 Thu</t>
  </si>
  <si>
    <t>29-Apr-25 Tue</t>
  </si>
  <si>
    <t>30-Apr-25 Wed</t>
  </si>
  <si>
    <t>14-May-25 Wed</t>
  </si>
  <si>
    <t>15-May-25 Thu</t>
  </si>
  <si>
    <t>27-May-25 Tue</t>
  </si>
  <si>
    <t>28-May-25 Wed</t>
  </si>
  <si>
    <t>10-Jun-25 Tue</t>
  </si>
  <si>
    <t>11-Jun-25 Wed</t>
  </si>
  <si>
    <t>12-Jun-25 Thu</t>
  </si>
  <si>
    <t>ND.02.11.07.00</t>
  </si>
  <si>
    <t>24-Jun-25 Tue</t>
  </si>
  <si>
    <t>25-Jun-25 Wed</t>
  </si>
  <si>
    <t>8-Jul-25 Tue</t>
  </si>
  <si>
    <t>9-Jul-25 Wed</t>
  </si>
  <si>
    <t>10-Jul-25 Thu</t>
  </si>
  <si>
    <t>ND.02.11.08.00</t>
  </si>
  <si>
    <t>16-Jul-25 Wed</t>
  </si>
  <si>
    <t>17-Jul-25 Thu</t>
  </si>
  <si>
    <t>29-Jul-25 Tue</t>
  </si>
  <si>
    <t>30-Jul-25 Wed</t>
  </si>
  <si>
    <t>12-Aug-25 Tue</t>
  </si>
  <si>
    <t>13-Aug-25 Wed</t>
  </si>
  <si>
    <t>14-Aug-25 Thu</t>
  </si>
  <si>
    <t>ND.02.11.09.00</t>
  </si>
  <si>
    <t>26-Aug-25 Tue</t>
  </si>
  <si>
    <t>27-Aug-25 Wed</t>
  </si>
  <si>
    <t>9-Sep-25 Tue</t>
  </si>
  <si>
    <t>10-Sep-25 Wed</t>
  </si>
  <si>
    <t>11-Sep-25 Thu</t>
  </si>
  <si>
    <t>ND.02.11.10.00</t>
  </si>
  <si>
    <t>23-Sep-25 Tue</t>
  </si>
  <si>
    <t>24-Sep-25 Wed</t>
  </si>
  <si>
    <t>7-Oct-25 Tue</t>
  </si>
  <si>
    <t>8-Oct-25 Wed</t>
  </si>
  <si>
    <t>9-Oct-25 Thu</t>
  </si>
  <si>
    <t>ND.02.11.11.00</t>
  </si>
  <si>
    <t>15-Oct-25 Wed</t>
  </si>
  <si>
    <t>16-Oct-25 Thu</t>
  </si>
  <si>
    <t>28-Oct-25 Tue</t>
  </si>
  <si>
    <t>29-Oct-25 Wed</t>
  </si>
  <si>
    <t>12-Nov-25 Wed 12pm CT</t>
  </si>
  <si>
    <t>12-Nov-25 Wed</t>
  </si>
  <si>
    <t>13-Nov-25 Thu</t>
  </si>
  <si>
    <t>ND.02.11.12.00</t>
  </si>
  <si>
    <t>25-Nov-25 Tue</t>
  </si>
  <si>
    <t>26-Nov-25 Wed</t>
  </si>
  <si>
    <t>9-Dec-25 Tue</t>
  </si>
  <si>
    <t>10-Dec-25 Wed</t>
  </si>
  <si>
    <t>11-Dec-25 Thu</t>
  </si>
  <si>
    <t>22-Jan-25 Wed</t>
  </si>
  <si>
    <t>23-Jan-25 Thu</t>
  </si>
  <si>
    <t>4-Feb-25 Tue</t>
  </si>
  <si>
    <t>18-Feb-25 Tue</t>
  </si>
  <si>
    <t>19-Feb-25 Wed</t>
  </si>
  <si>
    <t>20-Feb-25 Thu</t>
  </si>
  <si>
    <t>5-Feb-25 Wed</t>
  </si>
  <si>
    <t>13-May-25 Tue</t>
  </si>
  <si>
    <t>22-Jan-25 Thu</t>
  </si>
  <si>
    <t>ND.02.12.07.00</t>
  </si>
  <si>
    <t>ND.02.12.04.00</t>
  </si>
  <si>
    <t>ND.02.12.01.00</t>
  </si>
  <si>
    <t>ND.02.12.02.00</t>
  </si>
  <si>
    <t>ND.02.12.03.00</t>
  </si>
  <si>
    <t>ND.02.12.05.00</t>
  </si>
  <si>
    <t>ND.02.12.06.00</t>
  </si>
  <si>
    <t>ND.02.12.08.00</t>
  </si>
  <si>
    <t>ND.02.12.09.00</t>
  </si>
  <si>
    <t>ND.02.12.10.00</t>
  </si>
  <si>
    <t>ND.02.12.11.00</t>
  </si>
  <si>
    <t>ND.02.12.12.00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</si>
</sst>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dd\-mmm\-yy\ \ \ \ ddd"/>
    <numFmt numFmtId="166" formatCode="d\-mmm\-yy\ ddd"/>
    <numFmt numFmtId="167" formatCode="[$-409]d\-mmm\-yyyy;@"/>
    <numFmt numFmtId="168" formatCode="dd\-mmm\-yy\ ddd"/>
  </numFmts>
  <fonts count="15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indexed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trike/>
      <sz val="10"/>
      <name val="Calibri"/>
      <family val="2"/>
      <scheme val="minor"/>
    </font>
    <font>
      <strike/>
      <sz val="10"/>
      <name val="Arial"/>
      <family val="2"/>
    </font>
    <font>
      <b/>
      <sz val="10"/>
      <name val="Arial"/>
      <family val="2"/>
    </font>
    <font>
      <sz val="10.5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/>
    </xf>
    <xf numFmtId="165" fontId="6" fillId="6" borderId="1" xfId="1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/>
    </xf>
    <xf numFmtId="165" fontId="4" fillId="7" borderId="1" xfId="1" applyNumberFormat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/>
    </xf>
    <xf numFmtId="165" fontId="6" fillId="7" borderId="1" xfId="1" applyNumberFormat="1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66" fontId="7" fillId="8" borderId="1" xfId="1" applyNumberFormat="1" applyFont="1" applyFill="1" applyBorder="1" applyAlignment="1">
      <alignment horizontal="center"/>
    </xf>
    <xf numFmtId="166" fontId="7" fillId="8" borderId="1" xfId="1" applyNumberFormat="1" applyFont="1" applyFill="1" applyBorder="1" applyAlignment="1">
      <alignment horizontal="center" vertical="center"/>
    </xf>
    <xf numFmtId="166" fontId="8" fillId="8" borderId="1" xfId="1" applyNumberFormat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166" fontId="7" fillId="6" borderId="1" xfId="1" applyNumberFormat="1" applyFont="1" applyFill="1" applyBorder="1" applyAlignment="1">
      <alignment horizontal="center"/>
    </xf>
    <xf numFmtId="166" fontId="7" fillId="6" borderId="1" xfId="1" applyNumberFormat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66" fontId="7" fillId="8" borderId="4" xfId="1" applyNumberFormat="1" applyFont="1" applyFill="1" applyBorder="1" applyAlignment="1">
      <alignment horizontal="center" vertical="center"/>
    </xf>
    <xf numFmtId="166" fontId="7" fillId="8" borderId="5" xfId="1" applyNumberFormat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166" fontId="7" fillId="10" borderId="1" xfId="1" applyNumberFormat="1" applyFont="1" applyFill="1" applyBorder="1" applyAlignment="1">
      <alignment horizontal="center"/>
    </xf>
    <xf numFmtId="166" fontId="7" fillId="10" borderId="4" xfId="1" applyNumberFormat="1" applyFont="1" applyFill="1" applyBorder="1" applyAlignment="1">
      <alignment horizontal="center" vertical="center"/>
    </xf>
    <xf numFmtId="166" fontId="7" fillId="10" borderId="1" xfId="1" applyNumberFormat="1" applyFont="1" applyFill="1" applyBorder="1" applyAlignment="1">
      <alignment horizontal="center" vertical="center"/>
    </xf>
    <xf numFmtId="166" fontId="7" fillId="10" borderId="5" xfId="1" applyNumberFormat="1" applyFont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/>
    </xf>
    <xf numFmtId="166" fontId="6" fillId="10" borderId="1" xfId="1" applyNumberFormat="1" applyFont="1" applyFill="1" applyBorder="1" applyAlignment="1">
      <alignment horizontal="center" vertical="center"/>
    </xf>
    <xf numFmtId="166" fontId="7" fillId="6" borderId="5" xfId="1" applyNumberFormat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/>
    </xf>
    <xf numFmtId="14" fontId="7" fillId="6" borderId="1" xfId="1" applyNumberFormat="1" applyFont="1" applyFill="1" applyBorder="1" applyAlignment="1">
      <alignment horizontal="center"/>
    </xf>
    <xf numFmtId="0" fontId="10" fillId="6" borderId="6" xfId="1" applyFont="1" applyFill="1" applyBorder="1" applyAlignment="1">
      <alignment horizontal="center" wrapText="1" readingOrder="1"/>
    </xf>
    <xf numFmtId="0" fontId="7" fillId="0" borderId="0" xfId="1" applyFont="1"/>
    <xf numFmtId="15" fontId="7" fillId="6" borderId="1" xfId="1" applyNumberFormat="1" applyFont="1" applyFill="1" applyBorder="1" applyAlignment="1">
      <alignment horizontal="center"/>
    </xf>
    <xf numFmtId="0" fontId="7" fillId="11" borderId="1" xfId="2" applyFont="1" applyFill="1" applyBorder="1"/>
    <xf numFmtId="166" fontId="7" fillId="11" borderId="5" xfId="1" applyNumberFormat="1" applyFont="1" applyFill="1" applyBorder="1" applyAlignment="1">
      <alignment horizontal="center" vertical="center"/>
    </xf>
    <xf numFmtId="166" fontId="7" fillId="11" borderId="1" xfId="1" applyNumberFormat="1" applyFont="1" applyFill="1" applyBorder="1" applyAlignment="1">
      <alignment horizontal="center"/>
    </xf>
    <xf numFmtId="0" fontId="7" fillId="11" borderId="1" xfId="1" applyFont="1" applyFill="1" applyBorder="1" applyAlignment="1">
      <alignment horizontal="center"/>
    </xf>
    <xf numFmtId="0" fontId="1" fillId="0" borderId="0" xfId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166" fontId="7" fillId="4" borderId="1" xfId="1" applyNumberFormat="1" applyFont="1" applyFill="1" applyBorder="1" applyAlignment="1">
      <alignment horizontal="center" vertical="center"/>
    </xf>
    <xf numFmtId="166" fontId="11" fillId="2" borderId="1" xfId="1" applyNumberFormat="1" applyFont="1" applyFill="1" applyBorder="1" applyAlignment="1">
      <alignment horizontal="center" vertical="center"/>
    </xf>
    <xf numFmtId="167" fontId="7" fillId="4" borderId="1" xfId="1" applyNumberFormat="1" applyFont="1" applyFill="1" applyBorder="1" applyAlignment="1">
      <alignment horizontal="center" vertical="center"/>
    </xf>
    <xf numFmtId="0" fontId="12" fillId="0" borderId="0" xfId="1" applyFont="1"/>
    <xf numFmtId="0" fontId="7" fillId="12" borderId="1" xfId="1" applyFont="1" applyFill="1" applyBorder="1" applyAlignment="1">
      <alignment horizontal="center"/>
    </xf>
    <xf numFmtId="166" fontId="7" fillId="12" borderId="1" xfId="1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8" fontId="7" fillId="11" borderId="1" xfId="1" applyNumberFormat="1" applyFont="1" applyFill="1" applyBorder="1" applyAlignment="1">
      <alignment horizontal="center"/>
    </xf>
    <xf numFmtId="166" fontId="7" fillId="11" borderId="1" xfId="1" applyNumberFormat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wrapText="1"/>
    </xf>
    <xf numFmtId="0" fontId="7" fillId="11" borderId="5" xfId="1" applyFont="1" applyFill="1" applyBorder="1" applyAlignment="1">
      <alignment horizontal="center"/>
    </xf>
    <xf numFmtId="168" fontId="7" fillId="11" borderId="5" xfId="1" applyNumberFormat="1" applyFont="1" applyFill="1" applyBorder="1" applyAlignment="1">
      <alignment horizontal="center"/>
    </xf>
    <xf numFmtId="0" fontId="13" fillId="0" borderId="0" xfId="1" applyFont="1"/>
    <xf numFmtId="0" fontId="7" fillId="4" borderId="1" xfId="1" applyFont="1" applyFill="1" applyBorder="1" applyAlignment="1">
      <alignment horizontal="center"/>
    </xf>
    <xf numFmtId="168" fontId="7" fillId="4" borderId="1" xfId="1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 indent="1"/>
    </xf>
    <xf numFmtId="0" fontId="7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4D52-42FB-4514-9CD5-47B12C9F732A}">
  <dimension ref="A1:O190"/>
  <sheetViews>
    <sheetView tabSelected="1" zoomScale="90" zoomScaleNormal="90" workbookViewId="0">
      <pane ySplit="110" topLeftCell="A122" activePane="bottomLeft" state="frozen"/>
      <selection pane="bottomLeft" activeCell="E139" sqref="E139"/>
    </sheetView>
  </sheetViews>
  <sheetFormatPr defaultRowHeight="12.5" x14ac:dyDescent="0.25"/>
  <cols>
    <col min="1" max="1" width="13" style="54" customWidth="1"/>
    <col min="2" max="2" width="14.453125" style="54" customWidth="1"/>
    <col min="3" max="5" width="16" style="54" customWidth="1"/>
    <col min="6" max="6" width="10.08984375" style="54" customWidth="1"/>
    <col min="7" max="7" width="15.08984375" style="54" customWidth="1"/>
    <col min="8" max="8" width="15.6328125" style="54" customWidth="1"/>
    <col min="9" max="9" width="15.54296875" style="54" customWidth="1"/>
    <col min="10" max="10" width="16.08984375" style="54" customWidth="1"/>
    <col min="11" max="11" width="15.453125" style="54" customWidth="1"/>
    <col min="12" max="12" width="13.54296875" style="54" customWidth="1"/>
    <col min="13" max="13" width="14.90625" style="54" customWidth="1"/>
    <col min="14" max="14" width="14" style="54" bestFit="1" customWidth="1"/>
    <col min="15" max="15" width="98.36328125" style="4" customWidth="1"/>
    <col min="16" max="256" width="8.90625" style="4"/>
    <col min="257" max="257" width="13" style="4" customWidth="1"/>
    <col min="258" max="258" width="14.453125" style="4" customWidth="1"/>
    <col min="259" max="261" width="16" style="4" customWidth="1"/>
    <col min="262" max="262" width="10.08984375" style="4" customWidth="1"/>
    <col min="263" max="263" width="15.08984375" style="4" customWidth="1"/>
    <col min="264" max="264" width="15.6328125" style="4" customWidth="1"/>
    <col min="265" max="265" width="15.54296875" style="4" customWidth="1"/>
    <col min="266" max="266" width="16.08984375" style="4" customWidth="1"/>
    <col min="267" max="267" width="15.453125" style="4" customWidth="1"/>
    <col min="268" max="268" width="13.54296875" style="4" customWidth="1"/>
    <col min="269" max="269" width="14.90625" style="4" customWidth="1"/>
    <col min="270" max="270" width="14" style="4" bestFit="1" customWidth="1"/>
    <col min="271" max="271" width="98.36328125" style="4" customWidth="1"/>
    <col min="272" max="512" width="8.90625" style="4"/>
    <col min="513" max="513" width="13" style="4" customWidth="1"/>
    <col min="514" max="514" width="14.453125" style="4" customWidth="1"/>
    <col min="515" max="517" width="16" style="4" customWidth="1"/>
    <col min="518" max="518" width="10.08984375" style="4" customWidth="1"/>
    <col min="519" max="519" width="15.08984375" style="4" customWidth="1"/>
    <col min="520" max="520" width="15.6328125" style="4" customWidth="1"/>
    <col min="521" max="521" width="15.54296875" style="4" customWidth="1"/>
    <col min="522" max="522" width="16.08984375" style="4" customWidth="1"/>
    <col min="523" max="523" width="15.453125" style="4" customWidth="1"/>
    <col min="524" max="524" width="13.54296875" style="4" customWidth="1"/>
    <col min="525" max="525" width="14.90625" style="4" customWidth="1"/>
    <col min="526" max="526" width="14" style="4" bestFit="1" customWidth="1"/>
    <col min="527" max="527" width="98.36328125" style="4" customWidth="1"/>
    <col min="528" max="768" width="8.90625" style="4"/>
    <col min="769" max="769" width="13" style="4" customWidth="1"/>
    <col min="770" max="770" width="14.453125" style="4" customWidth="1"/>
    <col min="771" max="773" width="16" style="4" customWidth="1"/>
    <col min="774" max="774" width="10.08984375" style="4" customWidth="1"/>
    <col min="775" max="775" width="15.08984375" style="4" customWidth="1"/>
    <col min="776" max="776" width="15.6328125" style="4" customWidth="1"/>
    <col min="777" max="777" width="15.54296875" style="4" customWidth="1"/>
    <col min="778" max="778" width="16.08984375" style="4" customWidth="1"/>
    <col min="779" max="779" width="15.453125" style="4" customWidth="1"/>
    <col min="780" max="780" width="13.54296875" style="4" customWidth="1"/>
    <col min="781" max="781" width="14.90625" style="4" customWidth="1"/>
    <col min="782" max="782" width="14" style="4" bestFit="1" customWidth="1"/>
    <col min="783" max="783" width="98.36328125" style="4" customWidth="1"/>
    <col min="784" max="1024" width="8.90625" style="4"/>
    <col min="1025" max="1025" width="13" style="4" customWidth="1"/>
    <col min="1026" max="1026" width="14.453125" style="4" customWidth="1"/>
    <col min="1027" max="1029" width="16" style="4" customWidth="1"/>
    <col min="1030" max="1030" width="10.08984375" style="4" customWidth="1"/>
    <col min="1031" max="1031" width="15.08984375" style="4" customWidth="1"/>
    <col min="1032" max="1032" width="15.6328125" style="4" customWidth="1"/>
    <col min="1033" max="1033" width="15.54296875" style="4" customWidth="1"/>
    <col min="1034" max="1034" width="16.08984375" style="4" customWidth="1"/>
    <col min="1035" max="1035" width="15.453125" style="4" customWidth="1"/>
    <col min="1036" max="1036" width="13.54296875" style="4" customWidth="1"/>
    <col min="1037" max="1037" width="14.90625" style="4" customWidth="1"/>
    <col min="1038" max="1038" width="14" style="4" bestFit="1" customWidth="1"/>
    <col min="1039" max="1039" width="98.36328125" style="4" customWidth="1"/>
    <col min="1040" max="1280" width="8.90625" style="4"/>
    <col min="1281" max="1281" width="13" style="4" customWidth="1"/>
    <col min="1282" max="1282" width="14.453125" style="4" customWidth="1"/>
    <col min="1283" max="1285" width="16" style="4" customWidth="1"/>
    <col min="1286" max="1286" width="10.08984375" style="4" customWidth="1"/>
    <col min="1287" max="1287" width="15.08984375" style="4" customWidth="1"/>
    <col min="1288" max="1288" width="15.6328125" style="4" customWidth="1"/>
    <col min="1289" max="1289" width="15.54296875" style="4" customWidth="1"/>
    <col min="1290" max="1290" width="16.08984375" style="4" customWidth="1"/>
    <col min="1291" max="1291" width="15.453125" style="4" customWidth="1"/>
    <col min="1292" max="1292" width="13.54296875" style="4" customWidth="1"/>
    <col min="1293" max="1293" width="14.90625" style="4" customWidth="1"/>
    <col min="1294" max="1294" width="14" style="4" bestFit="1" customWidth="1"/>
    <col min="1295" max="1295" width="98.36328125" style="4" customWidth="1"/>
    <col min="1296" max="1536" width="8.90625" style="4"/>
    <col min="1537" max="1537" width="13" style="4" customWidth="1"/>
    <col min="1538" max="1538" width="14.453125" style="4" customWidth="1"/>
    <col min="1539" max="1541" width="16" style="4" customWidth="1"/>
    <col min="1542" max="1542" width="10.08984375" style="4" customWidth="1"/>
    <col min="1543" max="1543" width="15.08984375" style="4" customWidth="1"/>
    <col min="1544" max="1544" width="15.6328125" style="4" customWidth="1"/>
    <col min="1545" max="1545" width="15.54296875" style="4" customWidth="1"/>
    <col min="1546" max="1546" width="16.08984375" style="4" customWidth="1"/>
    <col min="1547" max="1547" width="15.453125" style="4" customWidth="1"/>
    <col min="1548" max="1548" width="13.54296875" style="4" customWidth="1"/>
    <col min="1549" max="1549" width="14.90625" style="4" customWidth="1"/>
    <col min="1550" max="1550" width="14" style="4" bestFit="1" customWidth="1"/>
    <col min="1551" max="1551" width="98.36328125" style="4" customWidth="1"/>
    <col min="1552" max="1792" width="8.90625" style="4"/>
    <col min="1793" max="1793" width="13" style="4" customWidth="1"/>
    <col min="1794" max="1794" width="14.453125" style="4" customWidth="1"/>
    <col min="1795" max="1797" width="16" style="4" customWidth="1"/>
    <col min="1798" max="1798" width="10.08984375" style="4" customWidth="1"/>
    <col min="1799" max="1799" width="15.08984375" style="4" customWidth="1"/>
    <col min="1800" max="1800" width="15.6328125" style="4" customWidth="1"/>
    <col min="1801" max="1801" width="15.54296875" style="4" customWidth="1"/>
    <col min="1802" max="1802" width="16.08984375" style="4" customWidth="1"/>
    <col min="1803" max="1803" width="15.453125" style="4" customWidth="1"/>
    <col min="1804" max="1804" width="13.54296875" style="4" customWidth="1"/>
    <col min="1805" max="1805" width="14.90625" style="4" customWidth="1"/>
    <col min="1806" max="1806" width="14" style="4" bestFit="1" customWidth="1"/>
    <col min="1807" max="1807" width="98.36328125" style="4" customWidth="1"/>
    <col min="1808" max="2048" width="8.90625" style="4"/>
    <col min="2049" max="2049" width="13" style="4" customWidth="1"/>
    <col min="2050" max="2050" width="14.453125" style="4" customWidth="1"/>
    <col min="2051" max="2053" width="16" style="4" customWidth="1"/>
    <col min="2054" max="2054" width="10.08984375" style="4" customWidth="1"/>
    <col min="2055" max="2055" width="15.08984375" style="4" customWidth="1"/>
    <col min="2056" max="2056" width="15.6328125" style="4" customWidth="1"/>
    <col min="2057" max="2057" width="15.54296875" style="4" customWidth="1"/>
    <col min="2058" max="2058" width="16.08984375" style="4" customWidth="1"/>
    <col min="2059" max="2059" width="15.453125" style="4" customWidth="1"/>
    <col min="2060" max="2060" width="13.54296875" style="4" customWidth="1"/>
    <col min="2061" max="2061" width="14.90625" style="4" customWidth="1"/>
    <col min="2062" max="2062" width="14" style="4" bestFit="1" customWidth="1"/>
    <col min="2063" max="2063" width="98.36328125" style="4" customWidth="1"/>
    <col min="2064" max="2304" width="8.90625" style="4"/>
    <col min="2305" max="2305" width="13" style="4" customWidth="1"/>
    <col min="2306" max="2306" width="14.453125" style="4" customWidth="1"/>
    <col min="2307" max="2309" width="16" style="4" customWidth="1"/>
    <col min="2310" max="2310" width="10.08984375" style="4" customWidth="1"/>
    <col min="2311" max="2311" width="15.08984375" style="4" customWidth="1"/>
    <col min="2312" max="2312" width="15.6328125" style="4" customWidth="1"/>
    <col min="2313" max="2313" width="15.54296875" style="4" customWidth="1"/>
    <col min="2314" max="2314" width="16.08984375" style="4" customWidth="1"/>
    <col min="2315" max="2315" width="15.453125" style="4" customWidth="1"/>
    <col min="2316" max="2316" width="13.54296875" style="4" customWidth="1"/>
    <col min="2317" max="2317" width="14.90625" style="4" customWidth="1"/>
    <col min="2318" max="2318" width="14" style="4" bestFit="1" customWidth="1"/>
    <col min="2319" max="2319" width="98.36328125" style="4" customWidth="1"/>
    <col min="2320" max="2560" width="8.90625" style="4"/>
    <col min="2561" max="2561" width="13" style="4" customWidth="1"/>
    <col min="2562" max="2562" width="14.453125" style="4" customWidth="1"/>
    <col min="2563" max="2565" width="16" style="4" customWidth="1"/>
    <col min="2566" max="2566" width="10.08984375" style="4" customWidth="1"/>
    <col min="2567" max="2567" width="15.08984375" style="4" customWidth="1"/>
    <col min="2568" max="2568" width="15.6328125" style="4" customWidth="1"/>
    <col min="2569" max="2569" width="15.54296875" style="4" customWidth="1"/>
    <col min="2570" max="2570" width="16.08984375" style="4" customWidth="1"/>
    <col min="2571" max="2571" width="15.453125" style="4" customWidth="1"/>
    <col min="2572" max="2572" width="13.54296875" style="4" customWidth="1"/>
    <col min="2573" max="2573" width="14.90625" style="4" customWidth="1"/>
    <col min="2574" max="2574" width="14" style="4" bestFit="1" customWidth="1"/>
    <col min="2575" max="2575" width="98.36328125" style="4" customWidth="1"/>
    <col min="2576" max="2816" width="8.90625" style="4"/>
    <col min="2817" max="2817" width="13" style="4" customWidth="1"/>
    <col min="2818" max="2818" width="14.453125" style="4" customWidth="1"/>
    <col min="2819" max="2821" width="16" style="4" customWidth="1"/>
    <col min="2822" max="2822" width="10.08984375" style="4" customWidth="1"/>
    <col min="2823" max="2823" width="15.08984375" style="4" customWidth="1"/>
    <col min="2824" max="2824" width="15.6328125" style="4" customWidth="1"/>
    <col min="2825" max="2825" width="15.54296875" style="4" customWidth="1"/>
    <col min="2826" max="2826" width="16.08984375" style="4" customWidth="1"/>
    <col min="2827" max="2827" width="15.453125" style="4" customWidth="1"/>
    <col min="2828" max="2828" width="13.54296875" style="4" customWidth="1"/>
    <col min="2829" max="2829" width="14.90625" style="4" customWidth="1"/>
    <col min="2830" max="2830" width="14" style="4" bestFit="1" customWidth="1"/>
    <col min="2831" max="2831" width="98.36328125" style="4" customWidth="1"/>
    <col min="2832" max="3072" width="8.90625" style="4"/>
    <col min="3073" max="3073" width="13" style="4" customWidth="1"/>
    <col min="3074" max="3074" width="14.453125" style="4" customWidth="1"/>
    <col min="3075" max="3077" width="16" style="4" customWidth="1"/>
    <col min="3078" max="3078" width="10.08984375" style="4" customWidth="1"/>
    <col min="3079" max="3079" width="15.08984375" style="4" customWidth="1"/>
    <col min="3080" max="3080" width="15.6328125" style="4" customWidth="1"/>
    <col min="3081" max="3081" width="15.54296875" style="4" customWidth="1"/>
    <col min="3082" max="3082" width="16.08984375" style="4" customWidth="1"/>
    <col min="3083" max="3083" width="15.453125" style="4" customWidth="1"/>
    <col min="3084" max="3084" width="13.54296875" style="4" customWidth="1"/>
    <col min="3085" max="3085" width="14.90625" style="4" customWidth="1"/>
    <col min="3086" max="3086" width="14" style="4" bestFit="1" customWidth="1"/>
    <col min="3087" max="3087" width="98.36328125" style="4" customWidth="1"/>
    <col min="3088" max="3328" width="8.90625" style="4"/>
    <col min="3329" max="3329" width="13" style="4" customWidth="1"/>
    <col min="3330" max="3330" width="14.453125" style="4" customWidth="1"/>
    <col min="3331" max="3333" width="16" style="4" customWidth="1"/>
    <col min="3334" max="3334" width="10.08984375" style="4" customWidth="1"/>
    <col min="3335" max="3335" width="15.08984375" style="4" customWidth="1"/>
    <col min="3336" max="3336" width="15.6328125" style="4" customWidth="1"/>
    <col min="3337" max="3337" width="15.54296875" style="4" customWidth="1"/>
    <col min="3338" max="3338" width="16.08984375" style="4" customWidth="1"/>
    <col min="3339" max="3339" width="15.453125" style="4" customWidth="1"/>
    <col min="3340" max="3340" width="13.54296875" style="4" customWidth="1"/>
    <col min="3341" max="3341" width="14.90625" style="4" customWidth="1"/>
    <col min="3342" max="3342" width="14" style="4" bestFit="1" customWidth="1"/>
    <col min="3343" max="3343" width="98.36328125" style="4" customWidth="1"/>
    <col min="3344" max="3584" width="8.90625" style="4"/>
    <col min="3585" max="3585" width="13" style="4" customWidth="1"/>
    <col min="3586" max="3586" width="14.453125" style="4" customWidth="1"/>
    <col min="3587" max="3589" width="16" style="4" customWidth="1"/>
    <col min="3590" max="3590" width="10.08984375" style="4" customWidth="1"/>
    <col min="3591" max="3591" width="15.08984375" style="4" customWidth="1"/>
    <col min="3592" max="3592" width="15.6328125" style="4" customWidth="1"/>
    <col min="3593" max="3593" width="15.54296875" style="4" customWidth="1"/>
    <col min="3594" max="3594" width="16.08984375" style="4" customWidth="1"/>
    <col min="3595" max="3595" width="15.453125" style="4" customWidth="1"/>
    <col min="3596" max="3596" width="13.54296875" style="4" customWidth="1"/>
    <col min="3597" max="3597" width="14.90625" style="4" customWidth="1"/>
    <col min="3598" max="3598" width="14" style="4" bestFit="1" customWidth="1"/>
    <col min="3599" max="3599" width="98.36328125" style="4" customWidth="1"/>
    <col min="3600" max="3840" width="8.90625" style="4"/>
    <col min="3841" max="3841" width="13" style="4" customWidth="1"/>
    <col min="3842" max="3842" width="14.453125" style="4" customWidth="1"/>
    <col min="3843" max="3845" width="16" style="4" customWidth="1"/>
    <col min="3846" max="3846" width="10.08984375" style="4" customWidth="1"/>
    <col min="3847" max="3847" width="15.08984375" style="4" customWidth="1"/>
    <col min="3848" max="3848" width="15.6328125" style="4" customWidth="1"/>
    <col min="3849" max="3849" width="15.54296875" style="4" customWidth="1"/>
    <col min="3850" max="3850" width="16.08984375" style="4" customWidth="1"/>
    <col min="3851" max="3851" width="15.453125" style="4" customWidth="1"/>
    <col min="3852" max="3852" width="13.54296875" style="4" customWidth="1"/>
    <col min="3853" max="3853" width="14.90625" style="4" customWidth="1"/>
    <col min="3854" max="3854" width="14" style="4" bestFit="1" customWidth="1"/>
    <col min="3855" max="3855" width="98.36328125" style="4" customWidth="1"/>
    <col min="3856" max="4096" width="8.90625" style="4"/>
    <col min="4097" max="4097" width="13" style="4" customWidth="1"/>
    <col min="4098" max="4098" width="14.453125" style="4" customWidth="1"/>
    <col min="4099" max="4101" width="16" style="4" customWidth="1"/>
    <col min="4102" max="4102" width="10.08984375" style="4" customWidth="1"/>
    <col min="4103" max="4103" width="15.08984375" style="4" customWidth="1"/>
    <col min="4104" max="4104" width="15.6328125" style="4" customWidth="1"/>
    <col min="4105" max="4105" width="15.54296875" style="4" customWidth="1"/>
    <col min="4106" max="4106" width="16.08984375" style="4" customWidth="1"/>
    <col min="4107" max="4107" width="15.453125" style="4" customWidth="1"/>
    <col min="4108" max="4108" width="13.54296875" style="4" customWidth="1"/>
    <col min="4109" max="4109" width="14.90625" style="4" customWidth="1"/>
    <col min="4110" max="4110" width="14" style="4" bestFit="1" customWidth="1"/>
    <col min="4111" max="4111" width="98.36328125" style="4" customWidth="1"/>
    <col min="4112" max="4352" width="8.90625" style="4"/>
    <col min="4353" max="4353" width="13" style="4" customWidth="1"/>
    <col min="4354" max="4354" width="14.453125" style="4" customWidth="1"/>
    <col min="4355" max="4357" width="16" style="4" customWidth="1"/>
    <col min="4358" max="4358" width="10.08984375" style="4" customWidth="1"/>
    <col min="4359" max="4359" width="15.08984375" style="4" customWidth="1"/>
    <col min="4360" max="4360" width="15.6328125" style="4" customWidth="1"/>
    <col min="4361" max="4361" width="15.54296875" style="4" customWidth="1"/>
    <col min="4362" max="4362" width="16.08984375" style="4" customWidth="1"/>
    <col min="4363" max="4363" width="15.453125" style="4" customWidth="1"/>
    <col min="4364" max="4364" width="13.54296875" style="4" customWidth="1"/>
    <col min="4365" max="4365" width="14.90625" style="4" customWidth="1"/>
    <col min="4366" max="4366" width="14" style="4" bestFit="1" customWidth="1"/>
    <col min="4367" max="4367" width="98.36328125" style="4" customWidth="1"/>
    <col min="4368" max="4608" width="8.90625" style="4"/>
    <col min="4609" max="4609" width="13" style="4" customWidth="1"/>
    <col min="4610" max="4610" width="14.453125" style="4" customWidth="1"/>
    <col min="4611" max="4613" width="16" style="4" customWidth="1"/>
    <col min="4614" max="4614" width="10.08984375" style="4" customWidth="1"/>
    <col min="4615" max="4615" width="15.08984375" style="4" customWidth="1"/>
    <col min="4616" max="4616" width="15.6328125" style="4" customWidth="1"/>
    <col min="4617" max="4617" width="15.54296875" style="4" customWidth="1"/>
    <col min="4618" max="4618" width="16.08984375" style="4" customWidth="1"/>
    <col min="4619" max="4619" width="15.453125" style="4" customWidth="1"/>
    <col min="4620" max="4620" width="13.54296875" style="4" customWidth="1"/>
    <col min="4621" max="4621" width="14.90625" style="4" customWidth="1"/>
    <col min="4622" max="4622" width="14" style="4" bestFit="1" customWidth="1"/>
    <col min="4623" max="4623" width="98.36328125" style="4" customWidth="1"/>
    <col min="4624" max="4864" width="8.90625" style="4"/>
    <col min="4865" max="4865" width="13" style="4" customWidth="1"/>
    <col min="4866" max="4866" width="14.453125" style="4" customWidth="1"/>
    <col min="4867" max="4869" width="16" style="4" customWidth="1"/>
    <col min="4870" max="4870" width="10.08984375" style="4" customWidth="1"/>
    <col min="4871" max="4871" width="15.08984375" style="4" customWidth="1"/>
    <col min="4872" max="4872" width="15.6328125" style="4" customWidth="1"/>
    <col min="4873" max="4873" width="15.54296875" style="4" customWidth="1"/>
    <col min="4874" max="4874" width="16.08984375" style="4" customWidth="1"/>
    <col min="4875" max="4875" width="15.453125" style="4" customWidth="1"/>
    <col min="4876" max="4876" width="13.54296875" style="4" customWidth="1"/>
    <col min="4877" max="4877" width="14.90625" style="4" customWidth="1"/>
    <col min="4878" max="4878" width="14" style="4" bestFit="1" customWidth="1"/>
    <col min="4879" max="4879" width="98.36328125" style="4" customWidth="1"/>
    <col min="4880" max="5120" width="8.90625" style="4"/>
    <col min="5121" max="5121" width="13" style="4" customWidth="1"/>
    <col min="5122" max="5122" width="14.453125" style="4" customWidth="1"/>
    <col min="5123" max="5125" width="16" style="4" customWidth="1"/>
    <col min="5126" max="5126" width="10.08984375" style="4" customWidth="1"/>
    <col min="5127" max="5127" width="15.08984375" style="4" customWidth="1"/>
    <col min="5128" max="5128" width="15.6328125" style="4" customWidth="1"/>
    <col min="5129" max="5129" width="15.54296875" style="4" customWidth="1"/>
    <col min="5130" max="5130" width="16.08984375" style="4" customWidth="1"/>
    <col min="5131" max="5131" width="15.453125" style="4" customWidth="1"/>
    <col min="5132" max="5132" width="13.54296875" style="4" customWidth="1"/>
    <col min="5133" max="5133" width="14.90625" style="4" customWidth="1"/>
    <col min="5134" max="5134" width="14" style="4" bestFit="1" customWidth="1"/>
    <col min="5135" max="5135" width="98.36328125" style="4" customWidth="1"/>
    <col min="5136" max="5376" width="8.90625" style="4"/>
    <col min="5377" max="5377" width="13" style="4" customWidth="1"/>
    <col min="5378" max="5378" width="14.453125" style="4" customWidth="1"/>
    <col min="5379" max="5381" width="16" style="4" customWidth="1"/>
    <col min="5382" max="5382" width="10.08984375" style="4" customWidth="1"/>
    <col min="5383" max="5383" width="15.08984375" style="4" customWidth="1"/>
    <col min="5384" max="5384" width="15.6328125" style="4" customWidth="1"/>
    <col min="5385" max="5385" width="15.54296875" style="4" customWidth="1"/>
    <col min="5386" max="5386" width="16.08984375" style="4" customWidth="1"/>
    <col min="5387" max="5387" width="15.453125" style="4" customWidth="1"/>
    <col min="5388" max="5388" width="13.54296875" style="4" customWidth="1"/>
    <col min="5389" max="5389" width="14.90625" style="4" customWidth="1"/>
    <col min="5390" max="5390" width="14" style="4" bestFit="1" customWidth="1"/>
    <col min="5391" max="5391" width="98.36328125" style="4" customWidth="1"/>
    <col min="5392" max="5632" width="8.90625" style="4"/>
    <col min="5633" max="5633" width="13" style="4" customWidth="1"/>
    <col min="5634" max="5634" width="14.453125" style="4" customWidth="1"/>
    <col min="5635" max="5637" width="16" style="4" customWidth="1"/>
    <col min="5638" max="5638" width="10.08984375" style="4" customWidth="1"/>
    <col min="5639" max="5639" width="15.08984375" style="4" customWidth="1"/>
    <col min="5640" max="5640" width="15.6328125" style="4" customWidth="1"/>
    <col min="5641" max="5641" width="15.54296875" style="4" customWidth="1"/>
    <col min="5642" max="5642" width="16.08984375" style="4" customWidth="1"/>
    <col min="5643" max="5643" width="15.453125" style="4" customWidth="1"/>
    <col min="5644" max="5644" width="13.54296875" style="4" customWidth="1"/>
    <col min="5645" max="5645" width="14.90625" style="4" customWidth="1"/>
    <col min="5646" max="5646" width="14" style="4" bestFit="1" customWidth="1"/>
    <col min="5647" max="5647" width="98.36328125" style="4" customWidth="1"/>
    <col min="5648" max="5888" width="8.90625" style="4"/>
    <col min="5889" max="5889" width="13" style="4" customWidth="1"/>
    <col min="5890" max="5890" width="14.453125" style="4" customWidth="1"/>
    <col min="5891" max="5893" width="16" style="4" customWidth="1"/>
    <col min="5894" max="5894" width="10.08984375" style="4" customWidth="1"/>
    <col min="5895" max="5895" width="15.08984375" style="4" customWidth="1"/>
    <col min="5896" max="5896" width="15.6328125" style="4" customWidth="1"/>
    <col min="5897" max="5897" width="15.54296875" style="4" customWidth="1"/>
    <col min="5898" max="5898" width="16.08984375" style="4" customWidth="1"/>
    <col min="5899" max="5899" width="15.453125" style="4" customWidth="1"/>
    <col min="5900" max="5900" width="13.54296875" style="4" customWidth="1"/>
    <col min="5901" max="5901" width="14.90625" style="4" customWidth="1"/>
    <col min="5902" max="5902" width="14" style="4" bestFit="1" customWidth="1"/>
    <col min="5903" max="5903" width="98.36328125" style="4" customWidth="1"/>
    <col min="5904" max="6144" width="8.90625" style="4"/>
    <col min="6145" max="6145" width="13" style="4" customWidth="1"/>
    <col min="6146" max="6146" width="14.453125" style="4" customWidth="1"/>
    <col min="6147" max="6149" width="16" style="4" customWidth="1"/>
    <col min="6150" max="6150" width="10.08984375" style="4" customWidth="1"/>
    <col min="6151" max="6151" width="15.08984375" style="4" customWidth="1"/>
    <col min="6152" max="6152" width="15.6328125" style="4" customWidth="1"/>
    <col min="6153" max="6153" width="15.54296875" style="4" customWidth="1"/>
    <col min="6154" max="6154" width="16.08984375" style="4" customWidth="1"/>
    <col min="6155" max="6155" width="15.453125" style="4" customWidth="1"/>
    <col min="6156" max="6156" width="13.54296875" style="4" customWidth="1"/>
    <col min="6157" max="6157" width="14.90625" style="4" customWidth="1"/>
    <col min="6158" max="6158" width="14" style="4" bestFit="1" customWidth="1"/>
    <col min="6159" max="6159" width="98.36328125" style="4" customWidth="1"/>
    <col min="6160" max="6400" width="8.90625" style="4"/>
    <col min="6401" max="6401" width="13" style="4" customWidth="1"/>
    <col min="6402" max="6402" width="14.453125" style="4" customWidth="1"/>
    <col min="6403" max="6405" width="16" style="4" customWidth="1"/>
    <col min="6406" max="6406" width="10.08984375" style="4" customWidth="1"/>
    <col min="6407" max="6407" width="15.08984375" style="4" customWidth="1"/>
    <col min="6408" max="6408" width="15.6328125" style="4" customWidth="1"/>
    <col min="6409" max="6409" width="15.54296875" style="4" customWidth="1"/>
    <col min="6410" max="6410" width="16.08984375" style="4" customWidth="1"/>
    <col min="6411" max="6411" width="15.453125" style="4" customWidth="1"/>
    <col min="6412" max="6412" width="13.54296875" style="4" customWidth="1"/>
    <col min="6413" max="6413" width="14.90625" style="4" customWidth="1"/>
    <col min="6414" max="6414" width="14" style="4" bestFit="1" customWidth="1"/>
    <col min="6415" max="6415" width="98.36328125" style="4" customWidth="1"/>
    <col min="6416" max="6656" width="8.90625" style="4"/>
    <col min="6657" max="6657" width="13" style="4" customWidth="1"/>
    <col min="6658" max="6658" width="14.453125" style="4" customWidth="1"/>
    <col min="6659" max="6661" width="16" style="4" customWidth="1"/>
    <col min="6662" max="6662" width="10.08984375" style="4" customWidth="1"/>
    <col min="6663" max="6663" width="15.08984375" style="4" customWidth="1"/>
    <col min="6664" max="6664" width="15.6328125" style="4" customWidth="1"/>
    <col min="6665" max="6665" width="15.54296875" style="4" customWidth="1"/>
    <col min="6666" max="6666" width="16.08984375" style="4" customWidth="1"/>
    <col min="6667" max="6667" width="15.453125" style="4" customWidth="1"/>
    <col min="6668" max="6668" width="13.54296875" style="4" customWidth="1"/>
    <col min="6669" max="6669" width="14.90625" style="4" customWidth="1"/>
    <col min="6670" max="6670" width="14" style="4" bestFit="1" customWidth="1"/>
    <col min="6671" max="6671" width="98.36328125" style="4" customWidth="1"/>
    <col min="6672" max="6912" width="8.90625" style="4"/>
    <col min="6913" max="6913" width="13" style="4" customWidth="1"/>
    <col min="6914" max="6914" width="14.453125" style="4" customWidth="1"/>
    <col min="6915" max="6917" width="16" style="4" customWidth="1"/>
    <col min="6918" max="6918" width="10.08984375" style="4" customWidth="1"/>
    <col min="6919" max="6919" width="15.08984375" style="4" customWidth="1"/>
    <col min="6920" max="6920" width="15.6328125" style="4" customWidth="1"/>
    <col min="6921" max="6921" width="15.54296875" style="4" customWidth="1"/>
    <col min="6922" max="6922" width="16.08984375" style="4" customWidth="1"/>
    <col min="6923" max="6923" width="15.453125" style="4" customWidth="1"/>
    <col min="6924" max="6924" width="13.54296875" style="4" customWidth="1"/>
    <col min="6925" max="6925" width="14.90625" style="4" customWidth="1"/>
    <col min="6926" max="6926" width="14" style="4" bestFit="1" customWidth="1"/>
    <col min="6927" max="6927" width="98.36328125" style="4" customWidth="1"/>
    <col min="6928" max="7168" width="8.90625" style="4"/>
    <col min="7169" max="7169" width="13" style="4" customWidth="1"/>
    <col min="7170" max="7170" width="14.453125" style="4" customWidth="1"/>
    <col min="7171" max="7173" width="16" style="4" customWidth="1"/>
    <col min="7174" max="7174" width="10.08984375" style="4" customWidth="1"/>
    <col min="7175" max="7175" width="15.08984375" style="4" customWidth="1"/>
    <col min="7176" max="7176" width="15.6328125" style="4" customWidth="1"/>
    <col min="7177" max="7177" width="15.54296875" style="4" customWidth="1"/>
    <col min="7178" max="7178" width="16.08984375" style="4" customWidth="1"/>
    <col min="7179" max="7179" width="15.453125" style="4" customWidth="1"/>
    <col min="7180" max="7180" width="13.54296875" style="4" customWidth="1"/>
    <col min="7181" max="7181" width="14.90625" style="4" customWidth="1"/>
    <col min="7182" max="7182" width="14" style="4" bestFit="1" customWidth="1"/>
    <col min="7183" max="7183" width="98.36328125" style="4" customWidth="1"/>
    <col min="7184" max="7424" width="8.90625" style="4"/>
    <col min="7425" max="7425" width="13" style="4" customWidth="1"/>
    <col min="7426" max="7426" width="14.453125" style="4" customWidth="1"/>
    <col min="7427" max="7429" width="16" style="4" customWidth="1"/>
    <col min="7430" max="7430" width="10.08984375" style="4" customWidth="1"/>
    <col min="7431" max="7431" width="15.08984375" style="4" customWidth="1"/>
    <col min="7432" max="7432" width="15.6328125" style="4" customWidth="1"/>
    <col min="7433" max="7433" width="15.54296875" style="4" customWidth="1"/>
    <col min="7434" max="7434" width="16.08984375" style="4" customWidth="1"/>
    <col min="7435" max="7435" width="15.453125" style="4" customWidth="1"/>
    <col min="7436" max="7436" width="13.54296875" style="4" customWidth="1"/>
    <col min="7437" max="7437" width="14.90625" style="4" customWidth="1"/>
    <col min="7438" max="7438" width="14" style="4" bestFit="1" customWidth="1"/>
    <col min="7439" max="7439" width="98.36328125" style="4" customWidth="1"/>
    <col min="7440" max="7680" width="8.90625" style="4"/>
    <col min="7681" max="7681" width="13" style="4" customWidth="1"/>
    <col min="7682" max="7682" width="14.453125" style="4" customWidth="1"/>
    <col min="7683" max="7685" width="16" style="4" customWidth="1"/>
    <col min="7686" max="7686" width="10.08984375" style="4" customWidth="1"/>
    <col min="7687" max="7687" width="15.08984375" style="4" customWidth="1"/>
    <col min="7688" max="7688" width="15.6328125" style="4" customWidth="1"/>
    <col min="7689" max="7689" width="15.54296875" style="4" customWidth="1"/>
    <col min="7690" max="7690" width="16.08984375" style="4" customWidth="1"/>
    <col min="7691" max="7691" width="15.453125" style="4" customWidth="1"/>
    <col min="7692" max="7692" width="13.54296875" style="4" customWidth="1"/>
    <col min="7693" max="7693" width="14.90625" style="4" customWidth="1"/>
    <col min="7694" max="7694" width="14" style="4" bestFit="1" customWidth="1"/>
    <col min="7695" max="7695" width="98.36328125" style="4" customWidth="1"/>
    <col min="7696" max="7936" width="8.90625" style="4"/>
    <col min="7937" max="7937" width="13" style="4" customWidth="1"/>
    <col min="7938" max="7938" width="14.453125" style="4" customWidth="1"/>
    <col min="7939" max="7941" width="16" style="4" customWidth="1"/>
    <col min="7942" max="7942" width="10.08984375" style="4" customWidth="1"/>
    <col min="7943" max="7943" width="15.08984375" style="4" customWidth="1"/>
    <col min="7944" max="7944" width="15.6328125" style="4" customWidth="1"/>
    <col min="7945" max="7945" width="15.54296875" style="4" customWidth="1"/>
    <col min="7946" max="7946" width="16.08984375" style="4" customWidth="1"/>
    <col min="7947" max="7947" width="15.453125" style="4" customWidth="1"/>
    <col min="7948" max="7948" width="13.54296875" style="4" customWidth="1"/>
    <col min="7949" max="7949" width="14.90625" style="4" customWidth="1"/>
    <col min="7950" max="7950" width="14" style="4" bestFit="1" customWidth="1"/>
    <col min="7951" max="7951" width="98.36328125" style="4" customWidth="1"/>
    <col min="7952" max="8192" width="8.90625" style="4"/>
    <col min="8193" max="8193" width="13" style="4" customWidth="1"/>
    <col min="8194" max="8194" width="14.453125" style="4" customWidth="1"/>
    <col min="8195" max="8197" width="16" style="4" customWidth="1"/>
    <col min="8198" max="8198" width="10.08984375" style="4" customWidth="1"/>
    <col min="8199" max="8199" width="15.08984375" style="4" customWidth="1"/>
    <col min="8200" max="8200" width="15.6328125" style="4" customWidth="1"/>
    <col min="8201" max="8201" width="15.54296875" style="4" customWidth="1"/>
    <col min="8202" max="8202" width="16.08984375" style="4" customWidth="1"/>
    <col min="8203" max="8203" width="15.453125" style="4" customWidth="1"/>
    <col min="8204" max="8204" width="13.54296875" style="4" customWidth="1"/>
    <col min="8205" max="8205" width="14.90625" style="4" customWidth="1"/>
    <col min="8206" max="8206" width="14" style="4" bestFit="1" customWidth="1"/>
    <col min="8207" max="8207" width="98.36328125" style="4" customWidth="1"/>
    <col min="8208" max="8448" width="8.90625" style="4"/>
    <col min="8449" max="8449" width="13" style="4" customWidth="1"/>
    <col min="8450" max="8450" width="14.453125" style="4" customWidth="1"/>
    <col min="8451" max="8453" width="16" style="4" customWidth="1"/>
    <col min="8454" max="8454" width="10.08984375" style="4" customWidth="1"/>
    <col min="8455" max="8455" width="15.08984375" style="4" customWidth="1"/>
    <col min="8456" max="8456" width="15.6328125" style="4" customWidth="1"/>
    <col min="8457" max="8457" width="15.54296875" style="4" customWidth="1"/>
    <col min="8458" max="8458" width="16.08984375" style="4" customWidth="1"/>
    <col min="8459" max="8459" width="15.453125" style="4" customWidth="1"/>
    <col min="8460" max="8460" width="13.54296875" style="4" customWidth="1"/>
    <col min="8461" max="8461" width="14.90625" style="4" customWidth="1"/>
    <col min="8462" max="8462" width="14" style="4" bestFit="1" customWidth="1"/>
    <col min="8463" max="8463" width="98.36328125" style="4" customWidth="1"/>
    <col min="8464" max="8704" width="8.90625" style="4"/>
    <col min="8705" max="8705" width="13" style="4" customWidth="1"/>
    <col min="8706" max="8706" width="14.453125" style="4" customWidth="1"/>
    <col min="8707" max="8709" width="16" style="4" customWidth="1"/>
    <col min="8710" max="8710" width="10.08984375" style="4" customWidth="1"/>
    <col min="8711" max="8711" width="15.08984375" style="4" customWidth="1"/>
    <col min="8712" max="8712" width="15.6328125" style="4" customWidth="1"/>
    <col min="8713" max="8713" width="15.54296875" style="4" customWidth="1"/>
    <col min="8714" max="8714" width="16.08984375" style="4" customWidth="1"/>
    <col min="8715" max="8715" width="15.453125" style="4" customWidth="1"/>
    <col min="8716" max="8716" width="13.54296875" style="4" customWidth="1"/>
    <col min="8717" max="8717" width="14.90625" style="4" customWidth="1"/>
    <col min="8718" max="8718" width="14" style="4" bestFit="1" customWidth="1"/>
    <col min="8719" max="8719" width="98.36328125" style="4" customWidth="1"/>
    <col min="8720" max="8960" width="8.90625" style="4"/>
    <col min="8961" max="8961" width="13" style="4" customWidth="1"/>
    <col min="8962" max="8962" width="14.453125" style="4" customWidth="1"/>
    <col min="8963" max="8965" width="16" style="4" customWidth="1"/>
    <col min="8966" max="8966" width="10.08984375" style="4" customWidth="1"/>
    <col min="8967" max="8967" width="15.08984375" style="4" customWidth="1"/>
    <col min="8968" max="8968" width="15.6328125" style="4" customWidth="1"/>
    <col min="8969" max="8969" width="15.54296875" style="4" customWidth="1"/>
    <col min="8970" max="8970" width="16.08984375" style="4" customWidth="1"/>
    <col min="8971" max="8971" width="15.453125" style="4" customWidth="1"/>
    <col min="8972" max="8972" width="13.54296875" style="4" customWidth="1"/>
    <col min="8973" max="8973" width="14.90625" style="4" customWidth="1"/>
    <col min="8974" max="8974" width="14" style="4" bestFit="1" customWidth="1"/>
    <col min="8975" max="8975" width="98.36328125" style="4" customWidth="1"/>
    <col min="8976" max="9216" width="8.90625" style="4"/>
    <col min="9217" max="9217" width="13" style="4" customWidth="1"/>
    <col min="9218" max="9218" width="14.453125" style="4" customWidth="1"/>
    <col min="9219" max="9221" width="16" style="4" customWidth="1"/>
    <col min="9222" max="9222" width="10.08984375" style="4" customWidth="1"/>
    <col min="9223" max="9223" width="15.08984375" style="4" customWidth="1"/>
    <col min="9224" max="9224" width="15.6328125" style="4" customWidth="1"/>
    <col min="9225" max="9225" width="15.54296875" style="4" customWidth="1"/>
    <col min="9226" max="9226" width="16.08984375" style="4" customWidth="1"/>
    <col min="9227" max="9227" width="15.453125" style="4" customWidth="1"/>
    <col min="9228" max="9228" width="13.54296875" style="4" customWidth="1"/>
    <col min="9229" max="9229" width="14.90625" style="4" customWidth="1"/>
    <col min="9230" max="9230" width="14" style="4" bestFit="1" customWidth="1"/>
    <col min="9231" max="9231" width="98.36328125" style="4" customWidth="1"/>
    <col min="9232" max="9472" width="8.90625" style="4"/>
    <col min="9473" max="9473" width="13" style="4" customWidth="1"/>
    <col min="9474" max="9474" width="14.453125" style="4" customWidth="1"/>
    <col min="9475" max="9477" width="16" style="4" customWidth="1"/>
    <col min="9478" max="9478" width="10.08984375" style="4" customWidth="1"/>
    <col min="9479" max="9479" width="15.08984375" style="4" customWidth="1"/>
    <col min="9480" max="9480" width="15.6328125" style="4" customWidth="1"/>
    <col min="9481" max="9481" width="15.54296875" style="4" customWidth="1"/>
    <col min="9482" max="9482" width="16.08984375" style="4" customWidth="1"/>
    <col min="9483" max="9483" width="15.453125" style="4" customWidth="1"/>
    <col min="9484" max="9484" width="13.54296875" style="4" customWidth="1"/>
    <col min="9485" max="9485" width="14.90625" style="4" customWidth="1"/>
    <col min="9486" max="9486" width="14" style="4" bestFit="1" customWidth="1"/>
    <col min="9487" max="9487" width="98.36328125" style="4" customWidth="1"/>
    <col min="9488" max="9728" width="8.90625" style="4"/>
    <col min="9729" max="9729" width="13" style="4" customWidth="1"/>
    <col min="9730" max="9730" width="14.453125" style="4" customWidth="1"/>
    <col min="9731" max="9733" width="16" style="4" customWidth="1"/>
    <col min="9734" max="9734" width="10.08984375" style="4" customWidth="1"/>
    <col min="9735" max="9735" width="15.08984375" style="4" customWidth="1"/>
    <col min="9736" max="9736" width="15.6328125" style="4" customWidth="1"/>
    <col min="9737" max="9737" width="15.54296875" style="4" customWidth="1"/>
    <col min="9738" max="9738" width="16.08984375" style="4" customWidth="1"/>
    <col min="9739" max="9739" width="15.453125" style="4" customWidth="1"/>
    <col min="9740" max="9740" width="13.54296875" style="4" customWidth="1"/>
    <col min="9741" max="9741" width="14.90625" style="4" customWidth="1"/>
    <col min="9742" max="9742" width="14" style="4" bestFit="1" customWidth="1"/>
    <col min="9743" max="9743" width="98.36328125" style="4" customWidth="1"/>
    <col min="9744" max="9984" width="8.90625" style="4"/>
    <col min="9985" max="9985" width="13" style="4" customWidth="1"/>
    <col min="9986" max="9986" width="14.453125" style="4" customWidth="1"/>
    <col min="9987" max="9989" width="16" style="4" customWidth="1"/>
    <col min="9990" max="9990" width="10.08984375" style="4" customWidth="1"/>
    <col min="9991" max="9991" width="15.08984375" style="4" customWidth="1"/>
    <col min="9992" max="9992" width="15.6328125" style="4" customWidth="1"/>
    <col min="9993" max="9993" width="15.54296875" style="4" customWidth="1"/>
    <col min="9994" max="9994" width="16.08984375" style="4" customWidth="1"/>
    <col min="9995" max="9995" width="15.453125" style="4" customWidth="1"/>
    <col min="9996" max="9996" width="13.54296875" style="4" customWidth="1"/>
    <col min="9997" max="9997" width="14.90625" style="4" customWidth="1"/>
    <col min="9998" max="9998" width="14" style="4" bestFit="1" customWidth="1"/>
    <col min="9999" max="9999" width="98.36328125" style="4" customWidth="1"/>
    <col min="10000" max="10240" width="8.90625" style="4"/>
    <col min="10241" max="10241" width="13" style="4" customWidth="1"/>
    <col min="10242" max="10242" width="14.453125" style="4" customWidth="1"/>
    <col min="10243" max="10245" width="16" style="4" customWidth="1"/>
    <col min="10246" max="10246" width="10.08984375" style="4" customWidth="1"/>
    <col min="10247" max="10247" width="15.08984375" style="4" customWidth="1"/>
    <col min="10248" max="10248" width="15.6328125" style="4" customWidth="1"/>
    <col min="10249" max="10249" width="15.54296875" style="4" customWidth="1"/>
    <col min="10250" max="10250" width="16.08984375" style="4" customWidth="1"/>
    <col min="10251" max="10251" width="15.453125" style="4" customWidth="1"/>
    <col min="10252" max="10252" width="13.54296875" style="4" customWidth="1"/>
    <col min="10253" max="10253" width="14.90625" style="4" customWidth="1"/>
    <col min="10254" max="10254" width="14" style="4" bestFit="1" customWidth="1"/>
    <col min="10255" max="10255" width="98.36328125" style="4" customWidth="1"/>
    <col min="10256" max="10496" width="8.90625" style="4"/>
    <col min="10497" max="10497" width="13" style="4" customWidth="1"/>
    <col min="10498" max="10498" width="14.453125" style="4" customWidth="1"/>
    <col min="10499" max="10501" width="16" style="4" customWidth="1"/>
    <col min="10502" max="10502" width="10.08984375" style="4" customWidth="1"/>
    <col min="10503" max="10503" width="15.08984375" style="4" customWidth="1"/>
    <col min="10504" max="10504" width="15.6328125" style="4" customWidth="1"/>
    <col min="10505" max="10505" width="15.54296875" style="4" customWidth="1"/>
    <col min="10506" max="10506" width="16.08984375" style="4" customWidth="1"/>
    <col min="10507" max="10507" width="15.453125" style="4" customWidth="1"/>
    <col min="10508" max="10508" width="13.54296875" style="4" customWidth="1"/>
    <col min="10509" max="10509" width="14.90625" style="4" customWidth="1"/>
    <col min="10510" max="10510" width="14" style="4" bestFit="1" customWidth="1"/>
    <col min="10511" max="10511" width="98.36328125" style="4" customWidth="1"/>
    <col min="10512" max="10752" width="8.90625" style="4"/>
    <col min="10753" max="10753" width="13" style="4" customWidth="1"/>
    <col min="10754" max="10754" width="14.453125" style="4" customWidth="1"/>
    <col min="10755" max="10757" width="16" style="4" customWidth="1"/>
    <col min="10758" max="10758" width="10.08984375" style="4" customWidth="1"/>
    <col min="10759" max="10759" width="15.08984375" style="4" customWidth="1"/>
    <col min="10760" max="10760" width="15.6328125" style="4" customWidth="1"/>
    <col min="10761" max="10761" width="15.54296875" style="4" customWidth="1"/>
    <col min="10762" max="10762" width="16.08984375" style="4" customWidth="1"/>
    <col min="10763" max="10763" width="15.453125" style="4" customWidth="1"/>
    <col min="10764" max="10764" width="13.54296875" style="4" customWidth="1"/>
    <col min="10765" max="10765" width="14.90625" style="4" customWidth="1"/>
    <col min="10766" max="10766" width="14" style="4" bestFit="1" customWidth="1"/>
    <col min="10767" max="10767" width="98.36328125" style="4" customWidth="1"/>
    <col min="10768" max="11008" width="8.90625" style="4"/>
    <col min="11009" max="11009" width="13" style="4" customWidth="1"/>
    <col min="11010" max="11010" width="14.453125" style="4" customWidth="1"/>
    <col min="11011" max="11013" width="16" style="4" customWidth="1"/>
    <col min="11014" max="11014" width="10.08984375" style="4" customWidth="1"/>
    <col min="11015" max="11015" width="15.08984375" style="4" customWidth="1"/>
    <col min="11016" max="11016" width="15.6328125" style="4" customWidth="1"/>
    <col min="11017" max="11017" width="15.54296875" style="4" customWidth="1"/>
    <col min="11018" max="11018" width="16.08984375" style="4" customWidth="1"/>
    <col min="11019" max="11019" width="15.453125" style="4" customWidth="1"/>
    <col min="11020" max="11020" width="13.54296875" style="4" customWidth="1"/>
    <col min="11021" max="11021" width="14.90625" style="4" customWidth="1"/>
    <col min="11022" max="11022" width="14" style="4" bestFit="1" customWidth="1"/>
    <col min="11023" max="11023" width="98.36328125" style="4" customWidth="1"/>
    <col min="11024" max="11264" width="8.90625" style="4"/>
    <col min="11265" max="11265" width="13" style="4" customWidth="1"/>
    <col min="11266" max="11266" width="14.453125" style="4" customWidth="1"/>
    <col min="11267" max="11269" width="16" style="4" customWidth="1"/>
    <col min="11270" max="11270" width="10.08984375" style="4" customWidth="1"/>
    <col min="11271" max="11271" width="15.08984375" style="4" customWidth="1"/>
    <col min="11272" max="11272" width="15.6328125" style="4" customWidth="1"/>
    <col min="11273" max="11273" width="15.54296875" style="4" customWidth="1"/>
    <col min="11274" max="11274" width="16.08984375" style="4" customWidth="1"/>
    <col min="11275" max="11275" width="15.453125" style="4" customWidth="1"/>
    <col min="11276" max="11276" width="13.54296875" style="4" customWidth="1"/>
    <col min="11277" max="11277" width="14.90625" style="4" customWidth="1"/>
    <col min="11278" max="11278" width="14" style="4" bestFit="1" customWidth="1"/>
    <col min="11279" max="11279" width="98.36328125" style="4" customWidth="1"/>
    <col min="11280" max="11520" width="8.90625" style="4"/>
    <col min="11521" max="11521" width="13" style="4" customWidth="1"/>
    <col min="11522" max="11522" width="14.453125" style="4" customWidth="1"/>
    <col min="11523" max="11525" width="16" style="4" customWidth="1"/>
    <col min="11526" max="11526" width="10.08984375" style="4" customWidth="1"/>
    <col min="11527" max="11527" width="15.08984375" style="4" customWidth="1"/>
    <col min="11528" max="11528" width="15.6328125" style="4" customWidth="1"/>
    <col min="11529" max="11529" width="15.54296875" style="4" customWidth="1"/>
    <col min="11530" max="11530" width="16.08984375" style="4" customWidth="1"/>
    <col min="11531" max="11531" width="15.453125" style="4" customWidth="1"/>
    <col min="11532" max="11532" width="13.54296875" style="4" customWidth="1"/>
    <col min="11533" max="11533" width="14.90625" style="4" customWidth="1"/>
    <col min="11534" max="11534" width="14" style="4" bestFit="1" customWidth="1"/>
    <col min="11535" max="11535" width="98.36328125" style="4" customWidth="1"/>
    <col min="11536" max="11776" width="8.90625" style="4"/>
    <col min="11777" max="11777" width="13" style="4" customWidth="1"/>
    <col min="11778" max="11778" width="14.453125" style="4" customWidth="1"/>
    <col min="11779" max="11781" width="16" style="4" customWidth="1"/>
    <col min="11782" max="11782" width="10.08984375" style="4" customWidth="1"/>
    <col min="11783" max="11783" width="15.08984375" style="4" customWidth="1"/>
    <col min="11784" max="11784" width="15.6328125" style="4" customWidth="1"/>
    <col min="11785" max="11785" width="15.54296875" style="4" customWidth="1"/>
    <col min="11786" max="11786" width="16.08984375" style="4" customWidth="1"/>
    <col min="11787" max="11787" width="15.453125" style="4" customWidth="1"/>
    <col min="11788" max="11788" width="13.54296875" style="4" customWidth="1"/>
    <col min="11789" max="11789" width="14.90625" style="4" customWidth="1"/>
    <col min="11790" max="11790" width="14" style="4" bestFit="1" customWidth="1"/>
    <col min="11791" max="11791" width="98.36328125" style="4" customWidth="1"/>
    <col min="11792" max="12032" width="8.90625" style="4"/>
    <col min="12033" max="12033" width="13" style="4" customWidth="1"/>
    <col min="12034" max="12034" width="14.453125" style="4" customWidth="1"/>
    <col min="12035" max="12037" width="16" style="4" customWidth="1"/>
    <col min="12038" max="12038" width="10.08984375" style="4" customWidth="1"/>
    <col min="12039" max="12039" width="15.08984375" style="4" customWidth="1"/>
    <col min="12040" max="12040" width="15.6328125" style="4" customWidth="1"/>
    <col min="12041" max="12041" width="15.54296875" style="4" customWidth="1"/>
    <col min="12042" max="12042" width="16.08984375" style="4" customWidth="1"/>
    <col min="12043" max="12043" width="15.453125" style="4" customWidth="1"/>
    <col min="12044" max="12044" width="13.54296875" style="4" customWidth="1"/>
    <col min="12045" max="12045" width="14.90625" style="4" customWidth="1"/>
    <col min="12046" max="12046" width="14" style="4" bestFit="1" customWidth="1"/>
    <col min="12047" max="12047" width="98.36328125" style="4" customWidth="1"/>
    <col min="12048" max="12288" width="8.90625" style="4"/>
    <col min="12289" max="12289" width="13" style="4" customWidth="1"/>
    <col min="12290" max="12290" width="14.453125" style="4" customWidth="1"/>
    <col min="12291" max="12293" width="16" style="4" customWidth="1"/>
    <col min="12294" max="12294" width="10.08984375" style="4" customWidth="1"/>
    <col min="12295" max="12295" width="15.08984375" style="4" customWidth="1"/>
    <col min="12296" max="12296" width="15.6328125" style="4" customWidth="1"/>
    <col min="12297" max="12297" width="15.54296875" style="4" customWidth="1"/>
    <col min="12298" max="12298" width="16.08984375" style="4" customWidth="1"/>
    <col min="12299" max="12299" width="15.453125" style="4" customWidth="1"/>
    <col min="12300" max="12300" width="13.54296875" style="4" customWidth="1"/>
    <col min="12301" max="12301" width="14.90625" style="4" customWidth="1"/>
    <col min="12302" max="12302" width="14" style="4" bestFit="1" customWidth="1"/>
    <col min="12303" max="12303" width="98.36328125" style="4" customWidth="1"/>
    <col min="12304" max="12544" width="8.90625" style="4"/>
    <col min="12545" max="12545" width="13" style="4" customWidth="1"/>
    <col min="12546" max="12546" width="14.453125" style="4" customWidth="1"/>
    <col min="12547" max="12549" width="16" style="4" customWidth="1"/>
    <col min="12550" max="12550" width="10.08984375" style="4" customWidth="1"/>
    <col min="12551" max="12551" width="15.08984375" style="4" customWidth="1"/>
    <col min="12552" max="12552" width="15.6328125" style="4" customWidth="1"/>
    <col min="12553" max="12553" width="15.54296875" style="4" customWidth="1"/>
    <col min="12554" max="12554" width="16.08984375" style="4" customWidth="1"/>
    <col min="12555" max="12555" width="15.453125" style="4" customWidth="1"/>
    <col min="12556" max="12556" width="13.54296875" style="4" customWidth="1"/>
    <col min="12557" max="12557" width="14.90625" style="4" customWidth="1"/>
    <col min="12558" max="12558" width="14" style="4" bestFit="1" customWidth="1"/>
    <col min="12559" max="12559" width="98.36328125" style="4" customWidth="1"/>
    <col min="12560" max="12800" width="8.90625" style="4"/>
    <col min="12801" max="12801" width="13" style="4" customWidth="1"/>
    <col min="12802" max="12802" width="14.453125" style="4" customWidth="1"/>
    <col min="12803" max="12805" width="16" style="4" customWidth="1"/>
    <col min="12806" max="12806" width="10.08984375" style="4" customWidth="1"/>
    <col min="12807" max="12807" width="15.08984375" style="4" customWidth="1"/>
    <col min="12808" max="12808" width="15.6328125" style="4" customWidth="1"/>
    <col min="12809" max="12809" width="15.54296875" style="4" customWidth="1"/>
    <col min="12810" max="12810" width="16.08984375" style="4" customWidth="1"/>
    <col min="12811" max="12811" width="15.453125" style="4" customWidth="1"/>
    <col min="12812" max="12812" width="13.54296875" style="4" customWidth="1"/>
    <col min="12813" max="12813" width="14.90625" style="4" customWidth="1"/>
    <col min="12814" max="12814" width="14" style="4" bestFit="1" customWidth="1"/>
    <col min="12815" max="12815" width="98.36328125" style="4" customWidth="1"/>
    <col min="12816" max="13056" width="8.90625" style="4"/>
    <col min="13057" max="13057" width="13" style="4" customWidth="1"/>
    <col min="13058" max="13058" width="14.453125" style="4" customWidth="1"/>
    <col min="13059" max="13061" width="16" style="4" customWidth="1"/>
    <col min="13062" max="13062" width="10.08984375" style="4" customWidth="1"/>
    <col min="13063" max="13063" width="15.08984375" style="4" customWidth="1"/>
    <col min="13064" max="13064" width="15.6328125" style="4" customWidth="1"/>
    <col min="13065" max="13065" width="15.54296875" style="4" customWidth="1"/>
    <col min="13066" max="13066" width="16.08984375" style="4" customWidth="1"/>
    <col min="13067" max="13067" width="15.453125" style="4" customWidth="1"/>
    <col min="13068" max="13068" width="13.54296875" style="4" customWidth="1"/>
    <col min="13069" max="13069" width="14.90625" style="4" customWidth="1"/>
    <col min="13070" max="13070" width="14" style="4" bestFit="1" customWidth="1"/>
    <col min="13071" max="13071" width="98.36328125" style="4" customWidth="1"/>
    <col min="13072" max="13312" width="8.90625" style="4"/>
    <col min="13313" max="13313" width="13" style="4" customWidth="1"/>
    <col min="13314" max="13314" width="14.453125" style="4" customWidth="1"/>
    <col min="13315" max="13317" width="16" style="4" customWidth="1"/>
    <col min="13318" max="13318" width="10.08984375" style="4" customWidth="1"/>
    <col min="13319" max="13319" width="15.08984375" style="4" customWidth="1"/>
    <col min="13320" max="13320" width="15.6328125" style="4" customWidth="1"/>
    <col min="13321" max="13321" width="15.54296875" style="4" customWidth="1"/>
    <col min="13322" max="13322" width="16.08984375" style="4" customWidth="1"/>
    <col min="13323" max="13323" width="15.453125" style="4" customWidth="1"/>
    <col min="13324" max="13324" width="13.54296875" style="4" customWidth="1"/>
    <col min="13325" max="13325" width="14.90625" style="4" customWidth="1"/>
    <col min="13326" max="13326" width="14" style="4" bestFit="1" customWidth="1"/>
    <col min="13327" max="13327" width="98.36328125" style="4" customWidth="1"/>
    <col min="13328" max="13568" width="8.90625" style="4"/>
    <col min="13569" max="13569" width="13" style="4" customWidth="1"/>
    <col min="13570" max="13570" width="14.453125" style="4" customWidth="1"/>
    <col min="13571" max="13573" width="16" style="4" customWidth="1"/>
    <col min="13574" max="13574" width="10.08984375" style="4" customWidth="1"/>
    <col min="13575" max="13575" width="15.08984375" style="4" customWidth="1"/>
    <col min="13576" max="13576" width="15.6328125" style="4" customWidth="1"/>
    <col min="13577" max="13577" width="15.54296875" style="4" customWidth="1"/>
    <col min="13578" max="13578" width="16.08984375" style="4" customWidth="1"/>
    <col min="13579" max="13579" width="15.453125" style="4" customWidth="1"/>
    <col min="13580" max="13580" width="13.54296875" style="4" customWidth="1"/>
    <col min="13581" max="13581" width="14.90625" style="4" customWidth="1"/>
    <col min="13582" max="13582" width="14" style="4" bestFit="1" customWidth="1"/>
    <col min="13583" max="13583" width="98.36328125" style="4" customWidth="1"/>
    <col min="13584" max="13824" width="8.90625" style="4"/>
    <col min="13825" max="13825" width="13" style="4" customWidth="1"/>
    <col min="13826" max="13826" width="14.453125" style="4" customWidth="1"/>
    <col min="13827" max="13829" width="16" style="4" customWidth="1"/>
    <col min="13830" max="13830" width="10.08984375" style="4" customWidth="1"/>
    <col min="13831" max="13831" width="15.08984375" style="4" customWidth="1"/>
    <col min="13832" max="13832" width="15.6328125" style="4" customWidth="1"/>
    <col min="13833" max="13833" width="15.54296875" style="4" customWidth="1"/>
    <col min="13834" max="13834" width="16.08984375" style="4" customWidth="1"/>
    <col min="13835" max="13835" width="15.453125" style="4" customWidth="1"/>
    <col min="13836" max="13836" width="13.54296875" style="4" customWidth="1"/>
    <col min="13837" max="13837" width="14.90625" style="4" customWidth="1"/>
    <col min="13838" max="13838" width="14" style="4" bestFit="1" customWidth="1"/>
    <col min="13839" max="13839" width="98.36328125" style="4" customWidth="1"/>
    <col min="13840" max="14080" width="8.90625" style="4"/>
    <col min="14081" max="14081" width="13" style="4" customWidth="1"/>
    <col min="14082" max="14082" width="14.453125" style="4" customWidth="1"/>
    <col min="14083" max="14085" width="16" style="4" customWidth="1"/>
    <col min="14086" max="14086" width="10.08984375" style="4" customWidth="1"/>
    <col min="14087" max="14087" width="15.08984375" style="4" customWidth="1"/>
    <col min="14088" max="14088" width="15.6328125" style="4" customWidth="1"/>
    <col min="14089" max="14089" width="15.54296875" style="4" customWidth="1"/>
    <col min="14090" max="14090" width="16.08984375" style="4" customWidth="1"/>
    <col min="14091" max="14091" width="15.453125" style="4" customWidth="1"/>
    <col min="14092" max="14092" width="13.54296875" style="4" customWidth="1"/>
    <col min="14093" max="14093" width="14.90625" style="4" customWidth="1"/>
    <col min="14094" max="14094" width="14" style="4" bestFit="1" customWidth="1"/>
    <col min="14095" max="14095" width="98.36328125" style="4" customWidth="1"/>
    <col min="14096" max="14336" width="8.90625" style="4"/>
    <col min="14337" max="14337" width="13" style="4" customWidth="1"/>
    <col min="14338" max="14338" width="14.453125" style="4" customWidth="1"/>
    <col min="14339" max="14341" width="16" style="4" customWidth="1"/>
    <col min="14342" max="14342" width="10.08984375" style="4" customWidth="1"/>
    <col min="14343" max="14343" width="15.08984375" style="4" customWidth="1"/>
    <col min="14344" max="14344" width="15.6328125" style="4" customWidth="1"/>
    <col min="14345" max="14345" width="15.54296875" style="4" customWidth="1"/>
    <col min="14346" max="14346" width="16.08984375" style="4" customWidth="1"/>
    <col min="14347" max="14347" width="15.453125" style="4" customWidth="1"/>
    <col min="14348" max="14348" width="13.54296875" style="4" customWidth="1"/>
    <col min="14349" max="14349" width="14.90625" style="4" customWidth="1"/>
    <col min="14350" max="14350" width="14" style="4" bestFit="1" customWidth="1"/>
    <col min="14351" max="14351" width="98.36328125" style="4" customWidth="1"/>
    <col min="14352" max="14592" width="8.90625" style="4"/>
    <col min="14593" max="14593" width="13" style="4" customWidth="1"/>
    <col min="14594" max="14594" width="14.453125" style="4" customWidth="1"/>
    <col min="14595" max="14597" width="16" style="4" customWidth="1"/>
    <col min="14598" max="14598" width="10.08984375" style="4" customWidth="1"/>
    <col min="14599" max="14599" width="15.08984375" style="4" customWidth="1"/>
    <col min="14600" max="14600" width="15.6328125" style="4" customWidth="1"/>
    <col min="14601" max="14601" width="15.54296875" style="4" customWidth="1"/>
    <col min="14602" max="14602" width="16.08984375" style="4" customWidth="1"/>
    <col min="14603" max="14603" width="15.453125" style="4" customWidth="1"/>
    <col min="14604" max="14604" width="13.54296875" style="4" customWidth="1"/>
    <col min="14605" max="14605" width="14.90625" style="4" customWidth="1"/>
    <col min="14606" max="14606" width="14" style="4" bestFit="1" customWidth="1"/>
    <col min="14607" max="14607" width="98.36328125" style="4" customWidth="1"/>
    <col min="14608" max="14848" width="8.90625" style="4"/>
    <col min="14849" max="14849" width="13" style="4" customWidth="1"/>
    <col min="14850" max="14850" width="14.453125" style="4" customWidth="1"/>
    <col min="14851" max="14853" width="16" style="4" customWidth="1"/>
    <col min="14854" max="14854" width="10.08984375" style="4" customWidth="1"/>
    <col min="14855" max="14855" width="15.08984375" style="4" customWidth="1"/>
    <col min="14856" max="14856" width="15.6328125" style="4" customWidth="1"/>
    <col min="14857" max="14857" width="15.54296875" style="4" customWidth="1"/>
    <col min="14858" max="14858" width="16.08984375" style="4" customWidth="1"/>
    <col min="14859" max="14859" width="15.453125" style="4" customWidth="1"/>
    <col min="14860" max="14860" width="13.54296875" style="4" customWidth="1"/>
    <col min="14861" max="14861" width="14.90625" style="4" customWidth="1"/>
    <col min="14862" max="14862" width="14" style="4" bestFit="1" customWidth="1"/>
    <col min="14863" max="14863" width="98.36328125" style="4" customWidth="1"/>
    <col min="14864" max="15104" width="8.90625" style="4"/>
    <col min="15105" max="15105" width="13" style="4" customWidth="1"/>
    <col min="15106" max="15106" width="14.453125" style="4" customWidth="1"/>
    <col min="15107" max="15109" width="16" style="4" customWidth="1"/>
    <col min="15110" max="15110" width="10.08984375" style="4" customWidth="1"/>
    <col min="15111" max="15111" width="15.08984375" style="4" customWidth="1"/>
    <col min="15112" max="15112" width="15.6328125" style="4" customWidth="1"/>
    <col min="15113" max="15113" width="15.54296875" style="4" customWidth="1"/>
    <col min="15114" max="15114" width="16.08984375" style="4" customWidth="1"/>
    <col min="15115" max="15115" width="15.453125" style="4" customWidth="1"/>
    <col min="15116" max="15116" width="13.54296875" style="4" customWidth="1"/>
    <col min="15117" max="15117" width="14.90625" style="4" customWidth="1"/>
    <col min="15118" max="15118" width="14" style="4" bestFit="1" customWidth="1"/>
    <col min="15119" max="15119" width="98.36328125" style="4" customWidth="1"/>
    <col min="15120" max="15360" width="8.90625" style="4"/>
    <col min="15361" max="15361" width="13" style="4" customWidth="1"/>
    <col min="15362" max="15362" width="14.453125" style="4" customWidth="1"/>
    <col min="15363" max="15365" width="16" style="4" customWidth="1"/>
    <col min="15366" max="15366" width="10.08984375" style="4" customWidth="1"/>
    <col min="15367" max="15367" width="15.08984375" style="4" customWidth="1"/>
    <col min="15368" max="15368" width="15.6328125" style="4" customWidth="1"/>
    <col min="15369" max="15369" width="15.54296875" style="4" customWidth="1"/>
    <col min="15370" max="15370" width="16.08984375" style="4" customWidth="1"/>
    <col min="15371" max="15371" width="15.453125" style="4" customWidth="1"/>
    <col min="15372" max="15372" width="13.54296875" style="4" customWidth="1"/>
    <col min="15373" max="15373" width="14.90625" style="4" customWidth="1"/>
    <col min="15374" max="15374" width="14" style="4" bestFit="1" customWidth="1"/>
    <col min="15375" max="15375" width="98.36328125" style="4" customWidth="1"/>
    <col min="15376" max="15616" width="8.90625" style="4"/>
    <col min="15617" max="15617" width="13" style="4" customWidth="1"/>
    <col min="15618" max="15618" width="14.453125" style="4" customWidth="1"/>
    <col min="15619" max="15621" width="16" style="4" customWidth="1"/>
    <col min="15622" max="15622" width="10.08984375" style="4" customWidth="1"/>
    <col min="15623" max="15623" width="15.08984375" style="4" customWidth="1"/>
    <col min="15624" max="15624" width="15.6328125" style="4" customWidth="1"/>
    <col min="15625" max="15625" width="15.54296875" style="4" customWidth="1"/>
    <col min="15626" max="15626" width="16.08984375" style="4" customWidth="1"/>
    <col min="15627" max="15627" width="15.453125" style="4" customWidth="1"/>
    <col min="15628" max="15628" width="13.54296875" style="4" customWidth="1"/>
    <col min="15629" max="15629" width="14.90625" style="4" customWidth="1"/>
    <col min="15630" max="15630" width="14" style="4" bestFit="1" customWidth="1"/>
    <col min="15631" max="15631" width="98.36328125" style="4" customWidth="1"/>
    <col min="15632" max="15872" width="8.90625" style="4"/>
    <col min="15873" max="15873" width="13" style="4" customWidth="1"/>
    <col min="15874" max="15874" width="14.453125" style="4" customWidth="1"/>
    <col min="15875" max="15877" width="16" style="4" customWidth="1"/>
    <col min="15878" max="15878" width="10.08984375" style="4" customWidth="1"/>
    <col min="15879" max="15879" width="15.08984375" style="4" customWidth="1"/>
    <col min="15880" max="15880" width="15.6328125" style="4" customWidth="1"/>
    <col min="15881" max="15881" width="15.54296875" style="4" customWidth="1"/>
    <col min="15882" max="15882" width="16.08984375" style="4" customWidth="1"/>
    <col min="15883" max="15883" width="15.453125" style="4" customWidth="1"/>
    <col min="15884" max="15884" width="13.54296875" style="4" customWidth="1"/>
    <col min="15885" max="15885" width="14.90625" style="4" customWidth="1"/>
    <col min="15886" max="15886" width="14" style="4" bestFit="1" customWidth="1"/>
    <col min="15887" max="15887" width="98.36328125" style="4" customWidth="1"/>
    <col min="15888" max="16128" width="8.90625" style="4"/>
    <col min="16129" max="16129" width="13" style="4" customWidth="1"/>
    <col min="16130" max="16130" width="14.453125" style="4" customWidth="1"/>
    <col min="16131" max="16133" width="16" style="4" customWidth="1"/>
    <col min="16134" max="16134" width="10.08984375" style="4" customWidth="1"/>
    <col min="16135" max="16135" width="15.08984375" style="4" customWidth="1"/>
    <col min="16136" max="16136" width="15.6328125" style="4" customWidth="1"/>
    <col min="16137" max="16137" width="15.54296875" style="4" customWidth="1"/>
    <col min="16138" max="16138" width="16.08984375" style="4" customWidth="1"/>
    <col min="16139" max="16139" width="15.453125" style="4" customWidth="1"/>
    <col min="16140" max="16140" width="13.54296875" style="4" customWidth="1"/>
    <col min="16141" max="16141" width="14.90625" style="4" customWidth="1"/>
    <col min="16142" max="16142" width="14" style="4" bestFit="1" customWidth="1"/>
    <col min="16143" max="16143" width="98.36328125" style="4" customWidth="1"/>
    <col min="16144" max="16384" width="8.90625" style="4"/>
  </cols>
  <sheetData>
    <row r="1" spans="1:14" ht="65" x14ac:dyDescent="0.25">
      <c r="A1" s="1" t="s">
        <v>107</v>
      </c>
      <c r="B1" s="2" t="s">
        <v>108</v>
      </c>
      <c r="C1" s="2" t="s">
        <v>109</v>
      </c>
      <c r="D1" s="2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</row>
    <row r="2" spans="1:14" ht="13" hidden="1" x14ac:dyDescent="0.25">
      <c r="A2" s="5" t="s">
        <v>0</v>
      </c>
      <c r="B2" s="6">
        <v>42584</v>
      </c>
      <c r="C2" s="6">
        <v>42585</v>
      </c>
      <c r="D2" s="6"/>
      <c r="E2" s="6">
        <v>42593</v>
      </c>
      <c r="F2" s="7" t="s">
        <v>121</v>
      </c>
      <c r="G2" s="6">
        <v>42593</v>
      </c>
      <c r="H2" s="6">
        <v>42594</v>
      </c>
      <c r="I2" s="6">
        <v>42598</v>
      </c>
      <c r="J2" s="6">
        <v>42598</v>
      </c>
      <c r="K2" s="6">
        <v>42599</v>
      </c>
      <c r="L2" s="6">
        <v>42605</v>
      </c>
      <c r="M2" s="6">
        <v>42606</v>
      </c>
      <c r="N2" s="6">
        <v>42607</v>
      </c>
    </row>
    <row r="3" spans="1:14" ht="13" hidden="1" x14ac:dyDescent="0.25">
      <c r="A3" s="5" t="s">
        <v>1</v>
      </c>
      <c r="B3" s="6">
        <v>42598</v>
      </c>
      <c r="C3" s="6">
        <v>42599</v>
      </c>
      <c r="D3" s="6"/>
      <c r="E3" s="6">
        <v>42607</v>
      </c>
      <c r="F3" s="7" t="s">
        <v>121</v>
      </c>
      <c r="G3" s="6">
        <v>42607</v>
      </c>
      <c r="H3" s="6">
        <v>42608</v>
      </c>
      <c r="I3" s="6">
        <v>42612</v>
      </c>
      <c r="J3" s="6">
        <v>42612</v>
      </c>
      <c r="K3" s="6">
        <v>42613</v>
      </c>
      <c r="L3" s="6">
        <v>42619</v>
      </c>
      <c r="M3" s="6">
        <v>42620</v>
      </c>
      <c r="N3" s="6">
        <v>42621</v>
      </c>
    </row>
    <row r="4" spans="1:14" ht="13" hidden="1" x14ac:dyDescent="0.25">
      <c r="A4" s="5" t="s">
        <v>2</v>
      </c>
      <c r="B4" s="6">
        <v>42612</v>
      </c>
      <c r="C4" s="6">
        <v>42613</v>
      </c>
      <c r="D4" s="6"/>
      <c r="E4" s="6">
        <v>42621</v>
      </c>
      <c r="F4" s="7" t="s">
        <v>121</v>
      </c>
      <c r="G4" s="6">
        <v>42621</v>
      </c>
      <c r="H4" s="6">
        <v>42622</v>
      </c>
      <c r="I4" s="6">
        <v>42626</v>
      </c>
      <c r="J4" s="6">
        <v>42626</v>
      </c>
      <c r="K4" s="6">
        <v>42627</v>
      </c>
      <c r="L4" s="6">
        <v>42633</v>
      </c>
      <c r="M4" s="6">
        <v>42634</v>
      </c>
      <c r="N4" s="6">
        <v>42635</v>
      </c>
    </row>
    <row r="5" spans="1:14" ht="13" hidden="1" x14ac:dyDescent="0.25">
      <c r="A5" s="5" t="s">
        <v>3</v>
      </c>
      <c r="B5" s="6">
        <v>42626</v>
      </c>
      <c r="C5" s="6">
        <v>42627</v>
      </c>
      <c r="D5" s="6"/>
      <c r="E5" s="6">
        <v>42635</v>
      </c>
      <c r="F5" s="7" t="s">
        <v>121</v>
      </c>
      <c r="G5" s="6">
        <v>42635</v>
      </c>
      <c r="H5" s="6">
        <v>42636</v>
      </c>
      <c r="I5" s="6">
        <v>42640</v>
      </c>
      <c r="J5" s="6">
        <v>42640</v>
      </c>
      <c r="K5" s="6">
        <v>42641</v>
      </c>
      <c r="L5" s="6">
        <v>42647</v>
      </c>
      <c r="M5" s="6">
        <v>42648</v>
      </c>
      <c r="N5" s="6">
        <v>42649</v>
      </c>
    </row>
    <row r="6" spans="1:14" ht="13" hidden="1" x14ac:dyDescent="0.3">
      <c r="A6" s="8" t="s">
        <v>4</v>
      </c>
      <c r="B6" s="9">
        <v>42642</v>
      </c>
      <c r="C6" s="9">
        <v>42643</v>
      </c>
      <c r="D6" s="9"/>
      <c r="E6" s="9">
        <v>42656</v>
      </c>
      <c r="F6" s="10" t="s">
        <v>121</v>
      </c>
      <c r="G6" s="9">
        <v>42656</v>
      </c>
      <c r="H6" s="9">
        <v>42657</v>
      </c>
      <c r="I6" s="9">
        <v>42668</v>
      </c>
      <c r="J6" s="9">
        <v>42668</v>
      </c>
      <c r="K6" s="9">
        <v>42669</v>
      </c>
      <c r="L6" s="9">
        <v>42682</v>
      </c>
      <c r="M6" s="9">
        <v>42683</v>
      </c>
      <c r="N6" s="11">
        <v>42684</v>
      </c>
    </row>
    <row r="7" spans="1:14" ht="13" hidden="1" x14ac:dyDescent="0.3">
      <c r="A7" s="8" t="s">
        <v>5</v>
      </c>
      <c r="B7" s="9">
        <v>42670</v>
      </c>
      <c r="C7" s="9">
        <v>42671</v>
      </c>
      <c r="D7" s="9"/>
      <c r="E7" s="9">
        <v>42684</v>
      </c>
      <c r="F7" s="10" t="s">
        <v>121</v>
      </c>
      <c r="G7" s="9">
        <v>42684</v>
      </c>
      <c r="H7" s="9">
        <v>42685</v>
      </c>
      <c r="I7" s="9">
        <v>42696</v>
      </c>
      <c r="J7" s="9">
        <v>42696</v>
      </c>
      <c r="K7" s="9">
        <v>42697</v>
      </c>
      <c r="L7" s="9">
        <v>42724</v>
      </c>
      <c r="M7" s="9">
        <v>42725</v>
      </c>
      <c r="N7" s="9">
        <v>42726</v>
      </c>
    </row>
    <row r="8" spans="1:14" ht="13" hidden="1" x14ac:dyDescent="0.25">
      <c r="A8" s="8" t="s">
        <v>122</v>
      </c>
      <c r="B8" s="9" t="s">
        <v>123</v>
      </c>
      <c r="C8" s="9" t="s">
        <v>123</v>
      </c>
      <c r="D8" s="9"/>
      <c r="E8" s="9" t="s">
        <v>123</v>
      </c>
      <c r="F8" s="9" t="s">
        <v>123</v>
      </c>
      <c r="G8" s="9" t="s">
        <v>123</v>
      </c>
      <c r="H8" s="9" t="s">
        <v>123</v>
      </c>
      <c r="I8" s="9" t="s">
        <v>123</v>
      </c>
      <c r="J8" s="9" t="s">
        <v>123</v>
      </c>
      <c r="K8" s="9" t="s">
        <v>123</v>
      </c>
      <c r="L8" s="9" t="s">
        <v>123</v>
      </c>
      <c r="M8" s="9" t="s">
        <v>123</v>
      </c>
      <c r="N8" s="12">
        <v>42732</v>
      </c>
    </row>
    <row r="9" spans="1:14" ht="13" hidden="1" x14ac:dyDescent="0.25">
      <c r="A9" s="8" t="s">
        <v>124</v>
      </c>
      <c r="B9" s="9" t="s">
        <v>123</v>
      </c>
      <c r="C9" s="9" t="s">
        <v>123</v>
      </c>
      <c r="D9" s="9"/>
      <c r="E9" s="9" t="s">
        <v>123</v>
      </c>
      <c r="F9" s="9" t="s">
        <v>123</v>
      </c>
      <c r="G9" s="9" t="s">
        <v>123</v>
      </c>
      <c r="H9" s="9" t="s">
        <v>123</v>
      </c>
      <c r="I9" s="9" t="s">
        <v>123</v>
      </c>
      <c r="J9" s="9" t="s">
        <v>123</v>
      </c>
      <c r="K9" s="9" t="s">
        <v>123</v>
      </c>
      <c r="L9" s="9" t="s">
        <v>123</v>
      </c>
      <c r="M9" s="9" t="s">
        <v>123</v>
      </c>
      <c r="N9" s="12">
        <v>42737</v>
      </c>
    </row>
    <row r="10" spans="1:14" ht="13" hidden="1" x14ac:dyDescent="0.25">
      <c r="A10" s="8" t="s">
        <v>6</v>
      </c>
      <c r="B10" s="9" t="s">
        <v>123</v>
      </c>
      <c r="C10" s="9" t="s">
        <v>123</v>
      </c>
      <c r="D10" s="9"/>
      <c r="E10" s="9" t="s">
        <v>123</v>
      </c>
      <c r="F10" s="9" t="s">
        <v>123</v>
      </c>
      <c r="G10" s="9" t="s">
        <v>123</v>
      </c>
      <c r="H10" s="9" t="s">
        <v>123</v>
      </c>
      <c r="I10" s="9" t="s">
        <v>123</v>
      </c>
      <c r="J10" s="9" t="s">
        <v>123</v>
      </c>
      <c r="K10" s="9" t="s">
        <v>123</v>
      </c>
      <c r="L10" s="9" t="s">
        <v>123</v>
      </c>
      <c r="M10" s="9" t="s">
        <v>123</v>
      </c>
      <c r="N10" s="12">
        <v>42752</v>
      </c>
    </row>
    <row r="11" spans="1:14" ht="13" hidden="1" x14ac:dyDescent="0.25">
      <c r="A11" s="8" t="s">
        <v>125</v>
      </c>
      <c r="B11" s="9" t="s">
        <v>123</v>
      </c>
      <c r="C11" s="9" t="s">
        <v>123</v>
      </c>
      <c r="D11" s="9"/>
      <c r="E11" s="9" t="s">
        <v>123</v>
      </c>
      <c r="F11" s="9" t="s">
        <v>123</v>
      </c>
      <c r="G11" s="9" t="s">
        <v>123</v>
      </c>
      <c r="H11" s="9" t="s">
        <v>123</v>
      </c>
      <c r="I11" s="9" t="s">
        <v>123</v>
      </c>
      <c r="J11" s="9" t="s">
        <v>123</v>
      </c>
      <c r="K11" s="9" t="s">
        <v>123</v>
      </c>
      <c r="L11" s="9" t="s">
        <v>123</v>
      </c>
      <c r="M11" s="9" t="s">
        <v>123</v>
      </c>
      <c r="N11" s="12">
        <v>42753</v>
      </c>
    </row>
    <row r="12" spans="1:14" ht="13" hidden="1" x14ac:dyDescent="0.3">
      <c r="A12" s="8" t="s">
        <v>7</v>
      </c>
      <c r="B12" s="9">
        <v>42698</v>
      </c>
      <c r="C12" s="9">
        <v>42699</v>
      </c>
      <c r="D12" s="9"/>
      <c r="E12" s="9">
        <v>42712</v>
      </c>
      <c r="F12" s="10" t="s">
        <v>121</v>
      </c>
      <c r="G12" s="9">
        <v>42712</v>
      </c>
      <c r="H12" s="9">
        <v>42713</v>
      </c>
      <c r="I12" s="9">
        <v>42738</v>
      </c>
      <c r="J12" s="9">
        <v>42738</v>
      </c>
      <c r="K12" s="9">
        <v>42739</v>
      </c>
      <c r="L12" s="9">
        <v>42759</v>
      </c>
      <c r="M12" s="9">
        <v>42760</v>
      </c>
      <c r="N12" s="11">
        <v>42761</v>
      </c>
    </row>
    <row r="13" spans="1:14" ht="13" hidden="1" x14ac:dyDescent="0.25">
      <c r="A13" s="8" t="s">
        <v>126</v>
      </c>
      <c r="B13" s="9" t="s">
        <v>123</v>
      </c>
      <c r="C13" s="9" t="s">
        <v>123</v>
      </c>
      <c r="D13" s="9"/>
      <c r="E13" s="9" t="s">
        <v>123</v>
      </c>
      <c r="F13" s="9" t="s">
        <v>123</v>
      </c>
      <c r="G13" s="9" t="s">
        <v>123</v>
      </c>
      <c r="H13" s="9" t="s">
        <v>123</v>
      </c>
      <c r="I13" s="9" t="s">
        <v>123</v>
      </c>
      <c r="J13" s="9" t="s">
        <v>123</v>
      </c>
      <c r="K13" s="9" t="s">
        <v>123</v>
      </c>
      <c r="L13" s="9" t="s">
        <v>123</v>
      </c>
      <c r="M13" s="9" t="s">
        <v>123</v>
      </c>
      <c r="N13" s="12">
        <v>42766</v>
      </c>
    </row>
    <row r="14" spans="1:14" ht="13" hidden="1" x14ac:dyDescent="0.3">
      <c r="A14" s="8" t="s">
        <v>8</v>
      </c>
      <c r="B14" s="9">
        <v>42740</v>
      </c>
      <c r="C14" s="9">
        <v>42741</v>
      </c>
      <c r="D14" s="9"/>
      <c r="E14" s="9">
        <v>42754</v>
      </c>
      <c r="F14" s="10" t="s">
        <v>121</v>
      </c>
      <c r="G14" s="9">
        <v>42754</v>
      </c>
      <c r="H14" s="9">
        <v>42755</v>
      </c>
      <c r="I14" s="9">
        <v>42766</v>
      </c>
      <c r="J14" s="9">
        <v>42766</v>
      </c>
      <c r="K14" s="9">
        <v>42767</v>
      </c>
      <c r="L14" s="9">
        <v>42780</v>
      </c>
      <c r="M14" s="9">
        <v>42781</v>
      </c>
      <c r="N14" s="9">
        <v>42782</v>
      </c>
    </row>
    <row r="15" spans="1:14" ht="13" hidden="1" x14ac:dyDescent="0.25">
      <c r="A15" s="8" t="s">
        <v>9</v>
      </c>
      <c r="B15" s="9" t="s">
        <v>123</v>
      </c>
      <c r="C15" s="9" t="s">
        <v>123</v>
      </c>
      <c r="D15" s="9"/>
      <c r="E15" s="9" t="s">
        <v>123</v>
      </c>
      <c r="F15" s="9" t="s">
        <v>123</v>
      </c>
      <c r="G15" s="9" t="s">
        <v>123</v>
      </c>
      <c r="H15" s="9" t="s">
        <v>123</v>
      </c>
      <c r="I15" s="9" t="s">
        <v>123</v>
      </c>
      <c r="J15" s="9" t="s">
        <v>123</v>
      </c>
      <c r="K15" s="9" t="s">
        <v>123</v>
      </c>
      <c r="L15" s="9" t="s">
        <v>123</v>
      </c>
      <c r="M15" s="9" t="s">
        <v>123</v>
      </c>
      <c r="N15" s="12">
        <v>42789</v>
      </c>
    </row>
    <row r="16" spans="1:14" ht="13" hidden="1" x14ac:dyDescent="0.3">
      <c r="A16" s="8" t="s">
        <v>10</v>
      </c>
      <c r="B16" s="9">
        <v>42768</v>
      </c>
      <c r="C16" s="9">
        <v>42769</v>
      </c>
      <c r="D16" s="9"/>
      <c r="E16" s="9">
        <v>42782</v>
      </c>
      <c r="F16" s="10" t="s">
        <v>121</v>
      </c>
      <c r="G16" s="9">
        <v>42782</v>
      </c>
      <c r="H16" s="9">
        <v>42783</v>
      </c>
      <c r="I16" s="9">
        <v>42795</v>
      </c>
      <c r="J16" s="9">
        <v>42795</v>
      </c>
      <c r="K16" s="9">
        <v>42796</v>
      </c>
      <c r="L16" s="9">
        <v>42808</v>
      </c>
      <c r="M16" s="9">
        <v>42809</v>
      </c>
      <c r="N16" s="11">
        <v>42810</v>
      </c>
    </row>
    <row r="17" spans="1:14" ht="13" hidden="1" x14ac:dyDescent="0.3">
      <c r="A17" s="8" t="s">
        <v>11</v>
      </c>
      <c r="B17" s="9">
        <v>42796</v>
      </c>
      <c r="C17" s="9">
        <v>42797</v>
      </c>
      <c r="D17" s="9"/>
      <c r="E17" s="9">
        <v>42807</v>
      </c>
      <c r="F17" s="10" t="s">
        <v>121</v>
      </c>
      <c r="G17" s="9">
        <v>42807</v>
      </c>
      <c r="H17" s="9">
        <v>42808</v>
      </c>
      <c r="I17" s="9">
        <v>42815</v>
      </c>
      <c r="J17" s="9">
        <v>42815</v>
      </c>
      <c r="K17" s="9">
        <v>42816</v>
      </c>
      <c r="L17" s="9">
        <v>42829</v>
      </c>
      <c r="M17" s="9">
        <v>42830</v>
      </c>
      <c r="N17" s="11">
        <v>42831</v>
      </c>
    </row>
    <row r="18" spans="1:14" ht="13" hidden="1" x14ac:dyDescent="0.3">
      <c r="A18" s="8" t="s">
        <v>12</v>
      </c>
      <c r="B18" s="9">
        <v>42817</v>
      </c>
      <c r="C18" s="9">
        <v>42818</v>
      </c>
      <c r="D18" s="9"/>
      <c r="E18" s="9">
        <v>42831</v>
      </c>
      <c r="F18" s="10" t="s">
        <v>121</v>
      </c>
      <c r="G18" s="9">
        <v>42831</v>
      </c>
      <c r="H18" s="9">
        <v>42832</v>
      </c>
      <c r="I18" s="9">
        <v>42843</v>
      </c>
      <c r="J18" s="9">
        <v>42843</v>
      </c>
      <c r="K18" s="9">
        <v>42844</v>
      </c>
      <c r="L18" s="9">
        <v>42857</v>
      </c>
      <c r="M18" s="9">
        <v>42858</v>
      </c>
      <c r="N18" s="11">
        <v>42859</v>
      </c>
    </row>
    <row r="19" spans="1:14" ht="13" hidden="1" x14ac:dyDescent="0.3">
      <c r="A19" s="13" t="s">
        <v>13</v>
      </c>
      <c r="B19" s="14">
        <v>42845</v>
      </c>
      <c r="C19" s="14">
        <v>42846</v>
      </c>
      <c r="D19" s="14"/>
      <c r="E19" s="14">
        <v>42863</v>
      </c>
      <c r="F19" s="15" t="s">
        <v>121</v>
      </c>
      <c r="G19" s="14">
        <v>42863</v>
      </c>
      <c r="H19" s="14">
        <v>42864</v>
      </c>
      <c r="I19" s="14">
        <v>42878</v>
      </c>
      <c r="J19" s="14">
        <v>42878</v>
      </c>
      <c r="K19" s="14">
        <v>42879</v>
      </c>
      <c r="L19" s="14">
        <v>42892</v>
      </c>
      <c r="M19" s="14">
        <v>42893</v>
      </c>
      <c r="N19" s="11">
        <v>42894</v>
      </c>
    </row>
    <row r="20" spans="1:14" ht="13" hidden="1" x14ac:dyDescent="0.3">
      <c r="A20" s="13" t="s">
        <v>14</v>
      </c>
      <c r="B20" s="14">
        <v>42880</v>
      </c>
      <c r="C20" s="14">
        <v>42881</v>
      </c>
      <c r="D20" s="14"/>
      <c r="E20" s="14">
        <v>42898</v>
      </c>
      <c r="F20" s="15" t="s">
        <v>121</v>
      </c>
      <c r="G20" s="14">
        <v>42898</v>
      </c>
      <c r="H20" s="14">
        <v>42899</v>
      </c>
      <c r="I20" s="14">
        <v>42913</v>
      </c>
      <c r="J20" s="14">
        <v>42913</v>
      </c>
      <c r="K20" s="14">
        <v>42914</v>
      </c>
      <c r="L20" s="14">
        <v>42934</v>
      </c>
      <c r="M20" s="14">
        <v>42935</v>
      </c>
      <c r="N20" s="11">
        <v>42936</v>
      </c>
    </row>
    <row r="21" spans="1:14" ht="13" hidden="1" x14ac:dyDescent="0.3">
      <c r="A21" s="13" t="s">
        <v>15</v>
      </c>
      <c r="B21" s="14">
        <v>42915</v>
      </c>
      <c r="C21" s="14">
        <v>42916</v>
      </c>
      <c r="D21" s="14"/>
      <c r="E21" s="14">
        <v>42933</v>
      </c>
      <c r="F21" s="15" t="s">
        <v>121</v>
      </c>
      <c r="G21" s="14">
        <v>42933</v>
      </c>
      <c r="H21" s="14">
        <v>42934</v>
      </c>
      <c r="I21" s="14">
        <v>42948</v>
      </c>
      <c r="J21" s="14">
        <v>42948</v>
      </c>
      <c r="K21" s="14">
        <v>42949</v>
      </c>
      <c r="L21" s="14">
        <v>42962</v>
      </c>
      <c r="M21" s="14">
        <v>42963</v>
      </c>
      <c r="N21" s="14">
        <v>42964</v>
      </c>
    </row>
    <row r="22" spans="1:14" ht="13" hidden="1" x14ac:dyDescent="0.3">
      <c r="A22" s="13" t="s">
        <v>16</v>
      </c>
      <c r="B22" s="14">
        <v>42950</v>
      </c>
      <c r="C22" s="14">
        <v>42951</v>
      </c>
      <c r="D22" s="14"/>
      <c r="E22" s="14">
        <v>42963</v>
      </c>
      <c r="F22" s="15" t="s">
        <v>121</v>
      </c>
      <c r="G22" s="14">
        <v>42963</v>
      </c>
      <c r="H22" s="14">
        <v>42964</v>
      </c>
      <c r="I22" s="14">
        <v>42976</v>
      </c>
      <c r="J22" s="14">
        <v>42976</v>
      </c>
      <c r="K22" s="14">
        <v>42977</v>
      </c>
      <c r="L22" s="14">
        <v>42990</v>
      </c>
      <c r="M22" s="14">
        <v>42991</v>
      </c>
      <c r="N22" s="14">
        <v>42992</v>
      </c>
    </row>
    <row r="23" spans="1:14" ht="13" hidden="1" x14ac:dyDescent="0.3">
      <c r="A23" s="13" t="s">
        <v>17</v>
      </c>
      <c r="B23" s="14">
        <v>42978</v>
      </c>
      <c r="C23" s="14">
        <v>42979</v>
      </c>
      <c r="D23" s="14"/>
      <c r="E23" s="14">
        <v>42991</v>
      </c>
      <c r="F23" s="15" t="s">
        <v>121</v>
      </c>
      <c r="G23" s="14">
        <v>42991</v>
      </c>
      <c r="H23" s="14">
        <v>42992</v>
      </c>
      <c r="I23" s="14">
        <v>43004</v>
      </c>
      <c r="J23" s="14">
        <v>43004</v>
      </c>
      <c r="K23" s="14">
        <v>43005</v>
      </c>
      <c r="L23" s="14">
        <v>43018</v>
      </c>
      <c r="M23" s="14">
        <v>43019</v>
      </c>
      <c r="N23" s="14">
        <v>43020</v>
      </c>
    </row>
    <row r="24" spans="1:14" ht="13" hidden="1" x14ac:dyDescent="0.3">
      <c r="A24" s="13" t="s">
        <v>18</v>
      </c>
      <c r="B24" s="14">
        <v>43006</v>
      </c>
      <c r="C24" s="14">
        <v>43007</v>
      </c>
      <c r="D24" s="14"/>
      <c r="E24" s="14">
        <v>43019</v>
      </c>
      <c r="F24" s="15" t="s">
        <v>121</v>
      </c>
      <c r="G24" s="14">
        <v>43019</v>
      </c>
      <c r="H24" s="14">
        <v>43020</v>
      </c>
      <c r="I24" s="14">
        <v>43032</v>
      </c>
      <c r="J24" s="14">
        <v>43032</v>
      </c>
      <c r="K24" s="14">
        <v>43033</v>
      </c>
      <c r="L24" s="16" t="s">
        <v>127</v>
      </c>
      <c r="M24" s="16" t="s">
        <v>127</v>
      </c>
      <c r="N24" s="14" t="s">
        <v>128</v>
      </c>
    </row>
    <row r="25" spans="1:14" ht="13" hidden="1" x14ac:dyDescent="0.3">
      <c r="A25" s="13" t="s">
        <v>19</v>
      </c>
      <c r="B25" s="14">
        <v>43034</v>
      </c>
      <c r="C25" s="14">
        <v>43035</v>
      </c>
      <c r="D25" s="14"/>
      <c r="E25" s="14">
        <v>43052</v>
      </c>
      <c r="F25" s="15" t="s">
        <v>121</v>
      </c>
      <c r="G25" s="14">
        <v>43052</v>
      </c>
      <c r="H25" s="14">
        <v>43053</v>
      </c>
      <c r="I25" s="14">
        <v>43067</v>
      </c>
      <c r="J25" s="14">
        <v>43067</v>
      </c>
      <c r="K25" s="14">
        <v>43068</v>
      </c>
      <c r="L25" s="14">
        <v>43081</v>
      </c>
      <c r="M25" s="14">
        <v>43082</v>
      </c>
      <c r="N25" s="14">
        <v>43083</v>
      </c>
    </row>
    <row r="26" spans="1:14" ht="13" hidden="1" x14ac:dyDescent="0.3">
      <c r="A26" s="17" t="s">
        <v>20</v>
      </c>
      <c r="B26" s="18">
        <v>43069</v>
      </c>
      <c r="C26" s="18">
        <v>43070</v>
      </c>
      <c r="D26" s="18"/>
      <c r="E26" s="18">
        <v>43082</v>
      </c>
      <c r="F26" s="19" t="s">
        <v>121</v>
      </c>
      <c r="G26" s="18">
        <v>43082</v>
      </c>
      <c r="H26" s="18">
        <v>43083</v>
      </c>
      <c r="I26" s="18">
        <v>43095</v>
      </c>
      <c r="J26" s="18">
        <v>43095</v>
      </c>
      <c r="K26" s="18">
        <v>43096</v>
      </c>
      <c r="L26" s="18">
        <v>43109</v>
      </c>
      <c r="M26" s="18">
        <v>43110</v>
      </c>
      <c r="N26" s="18">
        <v>43111</v>
      </c>
    </row>
    <row r="27" spans="1:14" ht="13" hidden="1" x14ac:dyDescent="0.3">
      <c r="A27" s="17" t="s">
        <v>21</v>
      </c>
      <c r="B27" s="18">
        <v>43097</v>
      </c>
      <c r="C27" s="18">
        <v>43098</v>
      </c>
      <c r="D27" s="18"/>
      <c r="E27" s="18">
        <v>43110</v>
      </c>
      <c r="F27" s="19" t="s">
        <v>121</v>
      </c>
      <c r="G27" s="18">
        <v>43110</v>
      </c>
      <c r="H27" s="18">
        <v>43111</v>
      </c>
      <c r="I27" s="18">
        <v>43123</v>
      </c>
      <c r="J27" s="18">
        <v>43123</v>
      </c>
      <c r="K27" s="18">
        <v>43124</v>
      </c>
      <c r="L27" s="18">
        <v>43137</v>
      </c>
      <c r="M27" s="18">
        <v>43138</v>
      </c>
      <c r="N27" s="18">
        <v>43139</v>
      </c>
    </row>
    <row r="28" spans="1:14" ht="13" hidden="1" x14ac:dyDescent="0.3">
      <c r="A28" s="17" t="s">
        <v>22</v>
      </c>
      <c r="B28" s="18">
        <v>43125</v>
      </c>
      <c r="C28" s="18">
        <v>43126</v>
      </c>
      <c r="D28" s="18"/>
      <c r="E28" s="18">
        <v>43138</v>
      </c>
      <c r="F28" s="19" t="s">
        <v>121</v>
      </c>
      <c r="G28" s="18">
        <v>43138</v>
      </c>
      <c r="H28" s="18">
        <v>43139</v>
      </c>
      <c r="I28" s="18">
        <v>43151</v>
      </c>
      <c r="J28" s="18">
        <v>43151</v>
      </c>
      <c r="K28" s="18">
        <v>43152</v>
      </c>
      <c r="L28" s="18">
        <v>43165</v>
      </c>
      <c r="M28" s="18">
        <v>43166</v>
      </c>
      <c r="N28" s="18">
        <v>43167</v>
      </c>
    </row>
    <row r="29" spans="1:14" ht="13" hidden="1" x14ac:dyDescent="0.3">
      <c r="A29" s="17" t="s">
        <v>23</v>
      </c>
      <c r="B29" s="18">
        <v>43153</v>
      </c>
      <c r="C29" s="18">
        <v>43154</v>
      </c>
      <c r="D29" s="18"/>
      <c r="E29" s="18">
        <v>43171</v>
      </c>
      <c r="F29" s="19" t="s">
        <v>121</v>
      </c>
      <c r="G29" s="18">
        <v>43171</v>
      </c>
      <c r="H29" s="18">
        <v>43172</v>
      </c>
      <c r="I29" s="18">
        <v>43182</v>
      </c>
      <c r="J29" s="18">
        <v>43183</v>
      </c>
      <c r="K29" s="18">
        <v>43185</v>
      </c>
      <c r="L29" s="18">
        <v>43193</v>
      </c>
      <c r="M29" s="18">
        <v>43194</v>
      </c>
      <c r="N29" s="18">
        <v>43195</v>
      </c>
    </row>
    <row r="30" spans="1:14" ht="39" hidden="1" x14ac:dyDescent="0.25">
      <c r="A30" s="20" t="s">
        <v>129</v>
      </c>
      <c r="B30" s="18">
        <v>43195</v>
      </c>
      <c r="C30" s="18">
        <v>43196</v>
      </c>
      <c r="D30" s="18"/>
      <c r="E30" s="18">
        <v>43208</v>
      </c>
      <c r="F30" s="18" t="s">
        <v>121</v>
      </c>
      <c r="G30" s="18">
        <v>43208</v>
      </c>
      <c r="H30" s="18">
        <v>43574</v>
      </c>
      <c r="I30" s="18">
        <v>43217</v>
      </c>
      <c r="J30" s="18">
        <v>43217</v>
      </c>
      <c r="K30" s="18">
        <v>43218</v>
      </c>
      <c r="L30" s="20" t="s">
        <v>130</v>
      </c>
      <c r="M30" s="18">
        <v>43256</v>
      </c>
      <c r="N30" s="20" t="s">
        <v>131</v>
      </c>
    </row>
    <row r="31" spans="1:14" ht="13" hidden="1" x14ac:dyDescent="0.3">
      <c r="A31" s="17" t="s">
        <v>24</v>
      </c>
      <c r="B31" s="18">
        <v>43223</v>
      </c>
      <c r="C31" s="18">
        <v>43224</v>
      </c>
      <c r="D31" s="18"/>
      <c r="E31" s="18">
        <v>43241</v>
      </c>
      <c r="F31" s="19" t="s">
        <v>121</v>
      </c>
      <c r="G31" s="18">
        <v>43241</v>
      </c>
      <c r="H31" s="18">
        <v>43242</v>
      </c>
      <c r="I31" s="18">
        <v>43256</v>
      </c>
      <c r="J31" s="18">
        <v>43258</v>
      </c>
      <c r="K31" s="18">
        <v>43259</v>
      </c>
      <c r="L31" s="18">
        <v>43270</v>
      </c>
      <c r="M31" s="18">
        <v>43271</v>
      </c>
      <c r="N31" s="18">
        <v>43272</v>
      </c>
    </row>
    <row r="32" spans="1:14" ht="13" hidden="1" x14ac:dyDescent="0.3">
      <c r="A32" s="17" t="s">
        <v>25</v>
      </c>
      <c r="B32" s="18">
        <v>43258</v>
      </c>
      <c r="C32" s="18">
        <v>43259</v>
      </c>
      <c r="D32" s="18"/>
      <c r="E32" s="18">
        <v>43271</v>
      </c>
      <c r="F32" s="19" t="s">
        <v>121</v>
      </c>
      <c r="G32" s="18">
        <v>43271</v>
      </c>
      <c r="H32" s="18">
        <v>43272</v>
      </c>
      <c r="I32" s="18">
        <v>43285</v>
      </c>
      <c r="J32" s="18">
        <v>43285</v>
      </c>
      <c r="K32" s="18">
        <v>43286</v>
      </c>
      <c r="L32" s="18">
        <v>43298</v>
      </c>
      <c r="M32" s="18">
        <v>43299</v>
      </c>
      <c r="N32" s="18">
        <v>43300</v>
      </c>
    </row>
    <row r="33" spans="1:14" ht="13" hidden="1" x14ac:dyDescent="0.3">
      <c r="A33" s="17" t="s">
        <v>26</v>
      </c>
      <c r="B33" s="18">
        <v>43286</v>
      </c>
      <c r="C33" s="18">
        <v>43287</v>
      </c>
      <c r="D33" s="18"/>
      <c r="E33" s="18">
        <v>43299</v>
      </c>
      <c r="F33" s="19" t="s">
        <v>121</v>
      </c>
      <c r="G33" s="18">
        <v>43299</v>
      </c>
      <c r="H33" s="18">
        <v>43300</v>
      </c>
      <c r="I33" s="18">
        <v>43312</v>
      </c>
      <c r="J33" s="18">
        <v>43312</v>
      </c>
      <c r="K33" s="18">
        <v>43313</v>
      </c>
      <c r="L33" s="18">
        <v>43326</v>
      </c>
      <c r="M33" s="18">
        <v>43327</v>
      </c>
      <c r="N33" s="18">
        <v>43328</v>
      </c>
    </row>
    <row r="34" spans="1:14" ht="13" hidden="1" x14ac:dyDescent="0.3">
      <c r="A34" s="21" t="s">
        <v>27</v>
      </c>
      <c r="B34" s="22">
        <v>43286</v>
      </c>
      <c r="C34" s="22">
        <v>43287</v>
      </c>
      <c r="D34" s="22"/>
      <c r="E34" s="22">
        <v>43299</v>
      </c>
      <c r="F34" s="23" t="s">
        <v>121</v>
      </c>
      <c r="G34" s="22">
        <v>43299</v>
      </c>
      <c r="H34" s="22">
        <v>43300</v>
      </c>
      <c r="I34" s="22">
        <v>43315</v>
      </c>
      <c r="J34" s="22">
        <v>43329</v>
      </c>
      <c r="K34" s="22">
        <v>43332</v>
      </c>
      <c r="L34" s="22">
        <v>43342</v>
      </c>
      <c r="M34" s="22">
        <v>43342</v>
      </c>
      <c r="N34" s="22">
        <v>43342</v>
      </c>
    </row>
    <row r="35" spans="1:14" ht="13" hidden="1" x14ac:dyDescent="0.3">
      <c r="A35" s="17" t="s">
        <v>28</v>
      </c>
      <c r="B35" s="20">
        <v>43299</v>
      </c>
      <c r="C35" s="20">
        <v>43300</v>
      </c>
      <c r="D35" s="20"/>
      <c r="E35" s="18">
        <v>43332</v>
      </c>
      <c r="F35" s="19" t="s">
        <v>121</v>
      </c>
      <c r="G35" s="18">
        <v>43332</v>
      </c>
      <c r="H35" s="18">
        <v>43333</v>
      </c>
      <c r="I35" s="18">
        <v>43347</v>
      </c>
      <c r="J35" s="18">
        <v>43347</v>
      </c>
      <c r="K35" s="18">
        <v>43348</v>
      </c>
      <c r="L35" s="18">
        <v>43361</v>
      </c>
      <c r="M35" s="18">
        <v>43362</v>
      </c>
      <c r="N35" s="18">
        <v>43363</v>
      </c>
    </row>
    <row r="36" spans="1:14" ht="26" hidden="1" x14ac:dyDescent="0.3">
      <c r="A36" s="17" t="s">
        <v>29</v>
      </c>
      <c r="B36" s="20">
        <v>43332</v>
      </c>
      <c r="C36" s="20">
        <v>43333</v>
      </c>
      <c r="D36" s="20"/>
      <c r="E36" s="18">
        <v>43362</v>
      </c>
      <c r="F36" s="19" t="s">
        <v>121</v>
      </c>
      <c r="G36" s="18">
        <v>43362</v>
      </c>
      <c r="H36" s="18">
        <v>43363</v>
      </c>
      <c r="I36" s="18">
        <v>43375</v>
      </c>
      <c r="J36" s="20" t="s">
        <v>132</v>
      </c>
      <c r="K36" s="18">
        <v>43375</v>
      </c>
      <c r="L36" s="18">
        <v>43389</v>
      </c>
      <c r="M36" s="18">
        <v>43390</v>
      </c>
      <c r="N36" s="18">
        <v>43391</v>
      </c>
    </row>
    <row r="37" spans="1:14" ht="13" hidden="1" x14ac:dyDescent="0.3">
      <c r="A37" s="17" t="s">
        <v>30</v>
      </c>
      <c r="B37" s="20">
        <v>43362</v>
      </c>
      <c r="C37" s="20">
        <v>43363</v>
      </c>
      <c r="D37" s="20"/>
      <c r="E37" s="18">
        <v>43390</v>
      </c>
      <c r="F37" s="19" t="s">
        <v>121</v>
      </c>
      <c r="G37" s="18">
        <v>43390</v>
      </c>
      <c r="H37" s="18">
        <v>43391</v>
      </c>
      <c r="I37" s="18">
        <v>43403</v>
      </c>
      <c r="J37" s="18">
        <v>43403</v>
      </c>
      <c r="K37" s="18">
        <v>43404</v>
      </c>
      <c r="L37" s="18">
        <v>43417</v>
      </c>
      <c r="M37" s="18">
        <v>43418</v>
      </c>
      <c r="N37" s="18">
        <v>43424</v>
      </c>
    </row>
    <row r="38" spans="1:14" ht="13" hidden="1" x14ac:dyDescent="0.3">
      <c r="A38" s="17" t="s">
        <v>31</v>
      </c>
      <c r="B38" s="20">
        <v>43390</v>
      </c>
      <c r="C38" s="20">
        <v>43391</v>
      </c>
      <c r="D38" s="20"/>
      <c r="E38" s="18">
        <v>43418</v>
      </c>
      <c r="F38" s="19" t="s">
        <v>121</v>
      </c>
      <c r="G38" s="18">
        <v>43418</v>
      </c>
      <c r="H38" s="18">
        <v>43419</v>
      </c>
      <c r="I38" s="18">
        <v>43431</v>
      </c>
      <c r="J38" s="18">
        <v>43431</v>
      </c>
      <c r="K38" s="18">
        <v>43432</v>
      </c>
      <c r="L38" s="18">
        <v>43445</v>
      </c>
      <c r="M38" s="18">
        <v>43446</v>
      </c>
      <c r="N38" s="18">
        <v>43447</v>
      </c>
    </row>
    <row r="39" spans="1:14" ht="13" hidden="1" x14ac:dyDescent="0.3">
      <c r="A39" s="24" t="s">
        <v>32</v>
      </c>
      <c r="B39" s="25">
        <v>43425</v>
      </c>
      <c r="C39" s="25">
        <v>43426</v>
      </c>
      <c r="D39" s="25"/>
      <c r="E39" s="26">
        <v>43453</v>
      </c>
      <c r="F39" s="25" t="s">
        <v>121</v>
      </c>
      <c r="G39" s="26">
        <v>43453</v>
      </c>
      <c r="H39" s="26">
        <v>43454</v>
      </c>
      <c r="I39" s="26">
        <v>43467</v>
      </c>
      <c r="J39" s="26">
        <v>43467</v>
      </c>
      <c r="K39" s="26">
        <v>43468</v>
      </c>
      <c r="L39" s="26">
        <v>43480</v>
      </c>
      <c r="M39" s="26">
        <v>43481</v>
      </c>
      <c r="N39" s="26">
        <v>43482</v>
      </c>
    </row>
    <row r="40" spans="1:14" ht="13" hidden="1" x14ac:dyDescent="0.3">
      <c r="A40" s="24" t="s">
        <v>133</v>
      </c>
      <c r="B40" s="25">
        <v>43453</v>
      </c>
      <c r="C40" s="25">
        <v>43454</v>
      </c>
      <c r="D40" s="25"/>
      <c r="E40" s="26">
        <v>43481</v>
      </c>
      <c r="F40" s="25" t="s">
        <v>121</v>
      </c>
      <c r="G40" s="26">
        <v>43481</v>
      </c>
      <c r="H40" s="26">
        <v>43482</v>
      </c>
      <c r="I40" s="26">
        <v>43494</v>
      </c>
      <c r="J40" s="27">
        <v>43494</v>
      </c>
      <c r="K40" s="27">
        <v>43495</v>
      </c>
      <c r="L40" s="27">
        <v>43508</v>
      </c>
      <c r="M40" s="27">
        <v>43509</v>
      </c>
      <c r="N40" s="27">
        <v>43572</v>
      </c>
    </row>
    <row r="41" spans="1:14" ht="13" hidden="1" x14ac:dyDescent="0.3">
      <c r="A41" s="24" t="s">
        <v>33</v>
      </c>
      <c r="B41" s="25">
        <v>43481</v>
      </c>
      <c r="C41" s="25">
        <v>43482</v>
      </c>
      <c r="D41" s="25"/>
      <c r="E41" s="26">
        <v>43509</v>
      </c>
      <c r="F41" s="25" t="s">
        <v>121</v>
      </c>
      <c r="G41" s="26">
        <v>43509</v>
      </c>
      <c r="H41" s="26">
        <v>43510</v>
      </c>
      <c r="I41" s="26">
        <v>43522</v>
      </c>
      <c r="J41" s="27">
        <v>43522</v>
      </c>
      <c r="K41" s="27">
        <v>43523</v>
      </c>
      <c r="L41" s="27">
        <v>43536</v>
      </c>
      <c r="M41" s="27">
        <v>43537</v>
      </c>
      <c r="N41" s="27">
        <v>43572</v>
      </c>
    </row>
    <row r="42" spans="1:14" ht="26" hidden="1" x14ac:dyDescent="0.3">
      <c r="A42" s="28" t="s">
        <v>134</v>
      </c>
      <c r="B42" s="29">
        <v>43453</v>
      </c>
      <c r="C42" s="29">
        <v>43454</v>
      </c>
      <c r="D42" s="29"/>
      <c r="E42" s="30">
        <v>43509</v>
      </c>
      <c r="F42" s="29" t="s">
        <v>121</v>
      </c>
      <c r="G42" s="30">
        <v>43509</v>
      </c>
      <c r="H42" s="30">
        <v>43510</v>
      </c>
      <c r="I42" s="30">
        <v>43536</v>
      </c>
      <c r="J42" s="30">
        <v>43536</v>
      </c>
      <c r="K42" s="30">
        <v>43537</v>
      </c>
      <c r="L42" s="30">
        <v>43570</v>
      </c>
      <c r="M42" s="30">
        <v>43571</v>
      </c>
      <c r="N42" s="30">
        <v>43572</v>
      </c>
    </row>
    <row r="43" spans="1:14" ht="13" hidden="1" x14ac:dyDescent="0.3">
      <c r="A43" s="24" t="s">
        <v>34</v>
      </c>
      <c r="B43" s="25">
        <v>43509</v>
      </c>
      <c r="C43" s="25">
        <v>43510</v>
      </c>
      <c r="D43" s="25"/>
      <c r="E43" s="26">
        <v>43558</v>
      </c>
      <c r="F43" s="25" t="s">
        <v>121</v>
      </c>
      <c r="G43" s="26">
        <v>43558</v>
      </c>
      <c r="H43" s="26">
        <v>43559</v>
      </c>
      <c r="I43" s="26">
        <v>43578</v>
      </c>
      <c r="J43" s="26">
        <v>43578</v>
      </c>
      <c r="K43" s="26">
        <v>43579</v>
      </c>
      <c r="L43" s="26">
        <v>43599</v>
      </c>
      <c r="M43" s="26">
        <v>43600</v>
      </c>
      <c r="N43" s="26">
        <v>43604</v>
      </c>
    </row>
    <row r="44" spans="1:14" ht="13" hidden="1" x14ac:dyDescent="0.3">
      <c r="A44" s="24" t="s">
        <v>35</v>
      </c>
      <c r="B44" s="25">
        <v>43558</v>
      </c>
      <c r="C44" s="25">
        <v>43559</v>
      </c>
      <c r="D44" s="25"/>
      <c r="E44" s="26">
        <v>43600</v>
      </c>
      <c r="F44" s="25" t="s">
        <v>121</v>
      </c>
      <c r="G44" s="26">
        <v>43600</v>
      </c>
      <c r="H44" s="26">
        <v>43601</v>
      </c>
      <c r="I44" s="26">
        <v>43613</v>
      </c>
      <c r="J44" s="26">
        <v>43613</v>
      </c>
      <c r="K44" s="26">
        <v>43614</v>
      </c>
      <c r="L44" s="26">
        <v>43627</v>
      </c>
      <c r="M44" s="26">
        <v>43628</v>
      </c>
      <c r="N44" s="26">
        <v>43629</v>
      </c>
    </row>
    <row r="45" spans="1:14" ht="13" hidden="1" x14ac:dyDescent="0.3">
      <c r="A45" s="24" t="s">
        <v>36</v>
      </c>
      <c r="B45" s="25">
        <v>43600</v>
      </c>
      <c r="C45" s="25">
        <v>43601</v>
      </c>
      <c r="D45" s="25"/>
      <c r="E45" s="26">
        <v>43628</v>
      </c>
      <c r="F45" s="25" t="s">
        <v>121</v>
      </c>
      <c r="G45" s="26">
        <v>43628</v>
      </c>
      <c r="H45" s="26">
        <v>43629</v>
      </c>
      <c r="I45" s="26">
        <v>43641</v>
      </c>
      <c r="J45" s="26">
        <v>43641</v>
      </c>
      <c r="K45" s="26">
        <v>43642</v>
      </c>
      <c r="L45" s="26">
        <v>43655</v>
      </c>
      <c r="M45" s="26">
        <v>43656</v>
      </c>
      <c r="N45" s="26">
        <v>43657</v>
      </c>
    </row>
    <row r="46" spans="1:14" ht="13" hidden="1" x14ac:dyDescent="0.3">
      <c r="A46" s="24" t="s">
        <v>37</v>
      </c>
      <c r="B46" s="25">
        <v>43628</v>
      </c>
      <c r="C46" s="25">
        <v>43629</v>
      </c>
      <c r="D46" s="25"/>
      <c r="E46" s="26">
        <v>43656</v>
      </c>
      <c r="F46" s="25" t="s">
        <v>121</v>
      </c>
      <c r="G46" s="26">
        <v>43656</v>
      </c>
      <c r="H46" s="26">
        <v>43657</v>
      </c>
      <c r="I46" s="26">
        <v>43669</v>
      </c>
      <c r="J46" s="26">
        <v>43669</v>
      </c>
      <c r="K46" s="26">
        <v>43670</v>
      </c>
      <c r="L46" s="26">
        <v>43683</v>
      </c>
      <c r="M46" s="26">
        <v>43684</v>
      </c>
      <c r="N46" s="26">
        <v>43685</v>
      </c>
    </row>
    <row r="47" spans="1:14" ht="13" hidden="1" x14ac:dyDescent="0.3">
      <c r="A47" s="24" t="s">
        <v>38</v>
      </c>
      <c r="B47" s="25">
        <v>43656</v>
      </c>
      <c r="C47" s="25">
        <v>43657</v>
      </c>
      <c r="D47" s="25"/>
      <c r="E47" s="26">
        <v>43691</v>
      </c>
      <c r="F47" s="25" t="s">
        <v>121</v>
      </c>
      <c r="G47" s="26">
        <v>43691</v>
      </c>
      <c r="H47" s="26">
        <v>43692</v>
      </c>
      <c r="I47" s="26">
        <v>43704</v>
      </c>
      <c r="J47" s="26">
        <v>43704</v>
      </c>
      <c r="K47" s="26">
        <v>43705</v>
      </c>
      <c r="L47" s="26">
        <v>43718</v>
      </c>
      <c r="M47" s="26">
        <v>43719</v>
      </c>
      <c r="N47" s="26">
        <v>43720</v>
      </c>
    </row>
    <row r="48" spans="1:14" ht="13" hidden="1" x14ac:dyDescent="0.3">
      <c r="A48" s="24" t="s">
        <v>39</v>
      </c>
      <c r="B48" s="25">
        <v>43691</v>
      </c>
      <c r="C48" s="25">
        <v>43692</v>
      </c>
      <c r="D48" s="25"/>
      <c r="E48" s="26">
        <v>43719</v>
      </c>
      <c r="F48" s="25" t="s">
        <v>121</v>
      </c>
      <c r="G48" s="26">
        <v>43719</v>
      </c>
      <c r="H48" s="26">
        <v>43720</v>
      </c>
      <c r="I48" s="26">
        <v>43732</v>
      </c>
      <c r="J48" s="26">
        <v>43732</v>
      </c>
      <c r="K48" s="26">
        <v>43733</v>
      </c>
      <c r="L48" s="26">
        <v>43746</v>
      </c>
      <c r="M48" s="26">
        <v>43747</v>
      </c>
      <c r="N48" s="26">
        <v>43748</v>
      </c>
    </row>
    <row r="49" spans="1:14" ht="13" hidden="1" x14ac:dyDescent="0.3">
      <c r="A49" s="24" t="s">
        <v>40</v>
      </c>
      <c r="B49" s="25">
        <v>43719</v>
      </c>
      <c r="C49" s="25">
        <v>43720</v>
      </c>
      <c r="D49" s="25"/>
      <c r="E49" s="26">
        <v>43747</v>
      </c>
      <c r="F49" s="25" t="s">
        <v>121</v>
      </c>
      <c r="G49" s="26">
        <v>43747</v>
      </c>
      <c r="H49" s="26">
        <v>43748</v>
      </c>
      <c r="I49" s="26">
        <v>43760</v>
      </c>
      <c r="J49" s="26">
        <v>43760</v>
      </c>
      <c r="K49" s="26">
        <v>43761</v>
      </c>
      <c r="L49" s="31" t="s">
        <v>135</v>
      </c>
      <c r="M49" s="32" t="s">
        <v>136</v>
      </c>
      <c r="N49" s="33" t="s">
        <v>137</v>
      </c>
    </row>
    <row r="50" spans="1:14" ht="13" hidden="1" x14ac:dyDescent="0.3">
      <c r="A50" s="24" t="s">
        <v>41</v>
      </c>
      <c r="B50" s="25">
        <v>43747</v>
      </c>
      <c r="C50" s="25">
        <v>43748</v>
      </c>
      <c r="D50" s="34" t="s">
        <v>138</v>
      </c>
      <c r="E50" s="35">
        <v>43783</v>
      </c>
      <c r="F50" s="25" t="s">
        <v>121</v>
      </c>
      <c r="G50" s="26">
        <v>43783</v>
      </c>
      <c r="H50" s="26">
        <v>43784</v>
      </c>
      <c r="I50" s="26">
        <v>43791</v>
      </c>
      <c r="J50" s="26">
        <v>43791</v>
      </c>
      <c r="K50" s="26">
        <v>43792</v>
      </c>
      <c r="L50" s="26">
        <v>43803</v>
      </c>
      <c r="M50" s="26">
        <v>43803</v>
      </c>
      <c r="N50" s="26">
        <v>43804</v>
      </c>
    </row>
    <row r="51" spans="1:14" ht="13" hidden="1" x14ac:dyDescent="0.3">
      <c r="A51" s="24" t="s">
        <v>42</v>
      </c>
      <c r="B51" s="25">
        <v>43747</v>
      </c>
      <c r="C51" s="25">
        <v>43748</v>
      </c>
      <c r="D51" s="34" t="s">
        <v>138</v>
      </c>
      <c r="E51" s="35">
        <v>43789</v>
      </c>
      <c r="F51" s="25" t="s">
        <v>121</v>
      </c>
      <c r="G51" s="26">
        <v>43789</v>
      </c>
      <c r="H51" s="26">
        <v>43790</v>
      </c>
      <c r="I51" s="26">
        <v>43804</v>
      </c>
      <c r="J51" s="26">
        <v>43804</v>
      </c>
      <c r="K51" s="26">
        <v>43805</v>
      </c>
      <c r="L51" s="36">
        <v>43817</v>
      </c>
      <c r="M51" s="36">
        <v>43817</v>
      </c>
      <c r="N51" s="36">
        <v>43818</v>
      </c>
    </row>
    <row r="52" spans="1:14" ht="13" hidden="1" x14ac:dyDescent="0.3">
      <c r="A52" s="37" t="s">
        <v>43</v>
      </c>
      <c r="B52" s="38">
        <v>43789</v>
      </c>
      <c r="C52" s="38">
        <v>43790</v>
      </c>
      <c r="D52" s="38" t="s">
        <v>139</v>
      </c>
      <c r="E52" s="39">
        <v>43823</v>
      </c>
      <c r="F52" s="38" t="s">
        <v>121</v>
      </c>
      <c r="G52" s="40">
        <v>43823</v>
      </c>
      <c r="H52" s="40">
        <v>43825</v>
      </c>
      <c r="I52" s="40">
        <v>43837</v>
      </c>
      <c r="J52" s="40">
        <v>43837</v>
      </c>
      <c r="K52" s="40">
        <v>43838</v>
      </c>
      <c r="L52" s="41">
        <v>43851</v>
      </c>
      <c r="M52" s="41">
        <v>43852</v>
      </c>
      <c r="N52" s="41">
        <v>43853</v>
      </c>
    </row>
    <row r="53" spans="1:14" ht="13" hidden="1" x14ac:dyDescent="0.3">
      <c r="A53" s="42" t="s">
        <v>44</v>
      </c>
      <c r="B53" s="38">
        <f t="shared" ref="B53:B63" si="0">C53-1</f>
        <v>43824</v>
      </c>
      <c r="C53" s="38">
        <f t="shared" ref="C53:C79" si="1">H52</f>
        <v>43825</v>
      </c>
      <c r="D53" s="39">
        <v>43838</v>
      </c>
      <c r="E53" s="40">
        <v>43845</v>
      </c>
      <c r="F53" s="38" t="s">
        <v>121</v>
      </c>
      <c r="G53" s="40">
        <v>43845</v>
      </c>
      <c r="H53" s="40">
        <f>G53+1</f>
        <v>43846</v>
      </c>
      <c r="I53" s="40">
        <v>43858</v>
      </c>
      <c r="J53" s="40">
        <v>43858</v>
      </c>
      <c r="K53" s="40">
        <v>43859</v>
      </c>
      <c r="L53" s="41">
        <v>43872</v>
      </c>
      <c r="M53" s="41">
        <v>43873</v>
      </c>
      <c r="N53" s="41">
        <v>43874</v>
      </c>
    </row>
    <row r="54" spans="1:14" ht="13" hidden="1" x14ac:dyDescent="0.3">
      <c r="A54" s="42" t="s">
        <v>45</v>
      </c>
      <c r="B54" s="38">
        <f t="shared" si="0"/>
        <v>43845</v>
      </c>
      <c r="C54" s="38">
        <f t="shared" si="1"/>
        <v>43846</v>
      </c>
      <c r="D54" s="40">
        <v>43859</v>
      </c>
      <c r="E54" s="40">
        <v>43873</v>
      </c>
      <c r="F54" s="38" t="s">
        <v>121</v>
      </c>
      <c r="G54" s="40">
        <v>43873</v>
      </c>
      <c r="H54" s="40">
        <f>G54+1</f>
        <v>43874</v>
      </c>
      <c r="I54" s="40">
        <v>43886</v>
      </c>
      <c r="J54" s="40">
        <v>43886</v>
      </c>
      <c r="K54" s="40">
        <f>J54+1</f>
        <v>43887</v>
      </c>
      <c r="L54" s="41">
        <v>43900</v>
      </c>
      <c r="M54" s="41">
        <v>43901</v>
      </c>
      <c r="N54" s="41">
        <v>43902</v>
      </c>
    </row>
    <row r="55" spans="1:14" ht="13" hidden="1" x14ac:dyDescent="0.3">
      <c r="A55" s="42" t="s">
        <v>46</v>
      </c>
      <c r="B55" s="38">
        <f t="shared" si="0"/>
        <v>43873</v>
      </c>
      <c r="C55" s="38">
        <f t="shared" si="1"/>
        <v>43874</v>
      </c>
      <c r="D55" s="40">
        <f t="shared" ref="D55:D95" si="2">K54</f>
        <v>43887</v>
      </c>
      <c r="E55" s="40">
        <v>43901</v>
      </c>
      <c r="F55" s="38" t="s">
        <v>121</v>
      </c>
      <c r="G55" s="40">
        <v>43901</v>
      </c>
      <c r="H55" s="40">
        <f>G55+1</f>
        <v>43902</v>
      </c>
      <c r="I55" s="40">
        <v>43914</v>
      </c>
      <c r="J55" s="40">
        <v>43914</v>
      </c>
      <c r="K55" s="40">
        <f>J55+1</f>
        <v>43915</v>
      </c>
      <c r="L55" s="41">
        <v>43928</v>
      </c>
      <c r="M55" s="41">
        <v>43929</v>
      </c>
      <c r="N55" s="41">
        <v>43930</v>
      </c>
    </row>
    <row r="56" spans="1:14" ht="13" hidden="1" x14ac:dyDescent="0.3">
      <c r="A56" s="42" t="s">
        <v>47</v>
      </c>
      <c r="B56" s="38">
        <f t="shared" si="0"/>
        <v>43901</v>
      </c>
      <c r="C56" s="38">
        <f t="shared" si="1"/>
        <v>43902</v>
      </c>
      <c r="D56" s="40">
        <f t="shared" si="2"/>
        <v>43915</v>
      </c>
      <c r="E56" s="40">
        <v>43936</v>
      </c>
      <c r="F56" s="38" t="s">
        <v>121</v>
      </c>
      <c r="G56" s="40">
        <v>43936</v>
      </c>
      <c r="H56" s="40">
        <f>G56+1</f>
        <v>43937</v>
      </c>
      <c r="I56" s="40">
        <v>43949</v>
      </c>
      <c r="J56" s="40">
        <v>43949</v>
      </c>
      <c r="K56" s="40">
        <f>J56+1</f>
        <v>43950</v>
      </c>
      <c r="L56" s="41">
        <v>43963</v>
      </c>
      <c r="M56" s="41">
        <v>43964</v>
      </c>
      <c r="N56" s="41">
        <v>43965</v>
      </c>
    </row>
    <row r="57" spans="1:14" ht="13" hidden="1" x14ac:dyDescent="0.3">
      <c r="A57" s="42" t="s">
        <v>48</v>
      </c>
      <c r="B57" s="38">
        <f t="shared" si="0"/>
        <v>43936</v>
      </c>
      <c r="C57" s="38">
        <f t="shared" si="1"/>
        <v>43937</v>
      </c>
      <c r="D57" s="43">
        <f t="shared" si="2"/>
        <v>43950</v>
      </c>
      <c r="E57" s="40">
        <v>43964</v>
      </c>
      <c r="F57" s="38" t="s">
        <v>121</v>
      </c>
      <c r="G57" s="40">
        <v>43964</v>
      </c>
      <c r="H57" s="40">
        <f>G57+1</f>
        <v>43965</v>
      </c>
      <c r="I57" s="40">
        <v>43977</v>
      </c>
      <c r="J57" s="40">
        <v>43977</v>
      </c>
      <c r="K57" s="40">
        <f>J57+1</f>
        <v>43978</v>
      </c>
      <c r="L57" s="41">
        <v>43991</v>
      </c>
      <c r="M57" s="41">
        <v>43992</v>
      </c>
      <c r="N57" s="41">
        <v>43993</v>
      </c>
    </row>
    <row r="58" spans="1:14" ht="13" hidden="1" x14ac:dyDescent="0.3">
      <c r="A58" s="42" t="s">
        <v>49</v>
      </c>
      <c r="B58" s="38">
        <f t="shared" si="0"/>
        <v>43964</v>
      </c>
      <c r="C58" s="38">
        <f t="shared" si="1"/>
        <v>43965</v>
      </c>
      <c r="D58" s="43">
        <f t="shared" si="2"/>
        <v>43978</v>
      </c>
      <c r="E58" s="39">
        <v>43992</v>
      </c>
      <c r="F58" s="38" t="s">
        <v>121</v>
      </c>
      <c r="G58" s="40">
        <v>43992</v>
      </c>
      <c r="H58" s="40">
        <v>43993</v>
      </c>
      <c r="I58" s="40">
        <v>44005</v>
      </c>
      <c r="J58" s="40">
        <v>44005</v>
      </c>
      <c r="K58" s="40">
        <v>44006</v>
      </c>
      <c r="L58" s="41">
        <v>44026</v>
      </c>
      <c r="M58" s="41">
        <v>44027</v>
      </c>
      <c r="N58" s="41">
        <v>44028</v>
      </c>
    </row>
    <row r="59" spans="1:14" ht="13" hidden="1" x14ac:dyDescent="0.3">
      <c r="A59" s="42" t="s">
        <v>50</v>
      </c>
      <c r="B59" s="38">
        <f t="shared" si="0"/>
        <v>43992</v>
      </c>
      <c r="C59" s="38">
        <f t="shared" si="1"/>
        <v>43993</v>
      </c>
      <c r="D59" s="43">
        <f t="shared" si="2"/>
        <v>44006</v>
      </c>
      <c r="E59" s="39">
        <v>44027</v>
      </c>
      <c r="F59" s="38" t="s">
        <v>121</v>
      </c>
      <c r="G59" s="40">
        <v>44027</v>
      </c>
      <c r="H59" s="40">
        <f>G59+1</f>
        <v>44028</v>
      </c>
      <c r="I59" s="40">
        <v>44040</v>
      </c>
      <c r="J59" s="40">
        <v>44040</v>
      </c>
      <c r="K59" s="40">
        <f>J59+1</f>
        <v>44041</v>
      </c>
      <c r="L59" s="41">
        <v>44054</v>
      </c>
      <c r="M59" s="41">
        <v>44055</v>
      </c>
      <c r="N59" s="41">
        <v>44056</v>
      </c>
    </row>
    <row r="60" spans="1:14" ht="13" hidden="1" x14ac:dyDescent="0.3">
      <c r="A60" s="42" t="s">
        <v>51</v>
      </c>
      <c r="B60" s="38">
        <f t="shared" si="0"/>
        <v>44027</v>
      </c>
      <c r="C60" s="38">
        <f t="shared" si="1"/>
        <v>44028</v>
      </c>
      <c r="D60" s="43">
        <f t="shared" si="2"/>
        <v>44041</v>
      </c>
      <c r="E60" s="39">
        <v>44055</v>
      </c>
      <c r="F60" s="38" t="s">
        <v>121</v>
      </c>
      <c r="G60" s="40">
        <v>44055</v>
      </c>
      <c r="H60" s="40">
        <f>G60+1</f>
        <v>44056</v>
      </c>
      <c r="I60" s="40">
        <v>44068</v>
      </c>
      <c r="J60" s="40">
        <v>44068</v>
      </c>
      <c r="K60" s="40">
        <f>J60+1</f>
        <v>44069</v>
      </c>
      <c r="L60" s="41">
        <v>44082</v>
      </c>
      <c r="M60" s="41">
        <v>44083</v>
      </c>
      <c r="N60" s="41">
        <v>44084</v>
      </c>
    </row>
    <row r="61" spans="1:14" ht="13" hidden="1" x14ac:dyDescent="0.3">
      <c r="A61" s="42" t="s">
        <v>52</v>
      </c>
      <c r="B61" s="38">
        <f t="shared" si="0"/>
        <v>44055</v>
      </c>
      <c r="C61" s="38">
        <f t="shared" si="1"/>
        <v>44056</v>
      </c>
      <c r="D61" s="43">
        <f t="shared" si="2"/>
        <v>44069</v>
      </c>
      <c r="E61" s="39">
        <v>44083</v>
      </c>
      <c r="F61" s="38" t="s">
        <v>121</v>
      </c>
      <c r="G61" s="40">
        <v>44083</v>
      </c>
      <c r="H61" s="40">
        <f>G61+1</f>
        <v>44084</v>
      </c>
      <c r="I61" s="40">
        <v>44096</v>
      </c>
      <c r="J61" s="40">
        <v>44096</v>
      </c>
      <c r="K61" s="40">
        <f>J61+1</f>
        <v>44097</v>
      </c>
      <c r="L61" s="41">
        <v>44110</v>
      </c>
      <c r="M61" s="41">
        <v>44111</v>
      </c>
      <c r="N61" s="41">
        <v>44112</v>
      </c>
    </row>
    <row r="62" spans="1:14" ht="13" hidden="1" x14ac:dyDescent="0.3">
      <c r="A62" s="42" t="s">
        <v>53</v>
      </c>
      <c r="B62" s="38">
        <f t="shared" si="0"/>
        <v>44083</v>
      </c>
      <c r="C62" s="38">
        <f t="shared" si="1"/>
        <v>44084</v>
      </c>
      <c r="D62" s="43">
        <f t="shared" si="2"/>
        <v>44097</v>
      </c>
      <c r="E62" s="39">
        <v>44118</v>
      </c>
      <c r="F62" s="38" t="s">
        <v>121</v>
      </c>
      <c r="G62" s="40">
        <v>44118</v>
      </c>
      <c r="H62" s="40">
        <f>G62+1</f>
        <v>44119</v>
      </c>
      <c r="I62" s="40">
        <v>44131</v>
      </c>
      <c r="J62" s="40">
        <v>44131</v>
      </c>
      <c r="K62" s="40">
        <f>J62+1</f>
        <v>44132</v>
      </c>
      <c r="L62" s="41">
        <v>44145</v>
      </c>
      <c r="M62" s="41">
        <v>44146</v>
      </c>
      <c r="N62" s="41">
        <v>44147</v>
      </c>
    </row>
    <row r="63" spans="1:14" ht="13" hidden="1" x14ac:dyDescent="0.3">
      <c r="A63" s="42" t="s">
        <v>54</v>
      </c>
      <c r="B63" s="38">
        <f t="shared" si="0"/>
        <v>44118</v>
      </c>
      <c r="C63" s="38">
        <f t="shared" si="1"/>
        <v>44119</v>
      </c>
      <c r="D63" s="43">
        <f t="shared" si="2"/>
        <v>44132</v>
      </c>
      <c r="E63" s="39">
        <v>44153</v>
      </c>
      <c r="F63" s="38" t="s">
        <v>121</v>
      </c>
      <c r="G63" s="40">
        <v>44153</v>
      </c>
      <c r="H63" s="40">
        <f>G63+1</f>
        <v>44154</v>
      </c>
      <c r="I63" s="40">
        <v>44166</v>
      </c>
      <c r="J63" s="40">
        <v>44166</v>
      </c>
      <c r="K63" s="40">
        <f>J63+1</f>
        <v>44167</v>
      </c>
      <c r="L63" s="41">
        <v>44180</v>
      </c>
      <c r="M63" s="41">
        <v>44181</v>
      </c>
      <c r="N63" s="41">
        <v>44182</v>
      </c>
    </row>
    <row r="64" spans="1:14" s="48" customFormat="1" ht="13" hidden="1" x14ac:dyDescent="0.3">
      <c r="A64" s="44" t="s">
        <v>55</v>
      </c>
      <c r="B64" s="44">
        <v>44153</v>
      </c>
      <c r="C64" s="44">
        <f t="shared" si="1"/>
        <v>44154</v>
      </c>
      <c r="D64" s="44">
        <f t="shared" si="2"/>
        <v>44167</v>
      </c>
      <c r="E64" s="44" t="str">
        <f t="shared" ref="E64:E87" si="3">G64</f>
        <v>16-Dec-20 Wed</v>
      </c>
      <c r="F64" s="45" t="s">
        <v>121</v>
      </c>
      <c r="G64" s="45" t="s">
        <v>140</v>
      </c>
      <c r="H64" s="45" t="s">
        <v>141</v>
      </c>
      <c r="I64" s="45" t="s">
        <v>142</v>
      </c>
      <c r="J64" s="45" t="s">
        <v>142</v>
      </c>
      <c r="K64" s="45" t="s">
        <v>143</v>
      </c>
      <c r="L64" s="46" t="s">
        <v>144</v>
      </c>
      <c r="M64" s="47" t="s">
        <v>144</v>
      </c>
      <c r="N64" s="47" t="s">
        <v>145</v>
      </c>
    </row>
    <row r="65" spans="1:14" s="48" customFormat="1" ht="13" hidden="1" x14ac:dyDescent="0.3">
      <c r="A65" s="44" t="s">
        <v>56</v>
      </c>
      <c r="B65" s="44">
        <v>44181</v>
      </c>
      <c r="C65" s="44" t="str">
        <f t="shared" si="1"/>
        <v>17-Dec-20 Thu</v>
      </c>
      <c r="D65" s="44" t="str">
        <f t="shared" si="2"/>
        <v>30-Dec-20 Wed</v>
      </c>
      <c r="E65" s="44" t="str">
        <f t="shared" si="3"/>
        <v>13-Jan-21 Wed</v>
      </c>
      <c r="F65" s="45" t="s">
        <v>121</v>
      </c>
      <c r="G65" s="45" t="s">
        <v>145</v>
      </c>
      <c r="H65" s="47" t="s">
        <v>146</v>
      </c>
      <c r="I65" s="47" t="s">
        <v>147</v>
      </c>
      <c r="J65" s="47" t="s">
        <v>147</v>
      </c>
      <c r="K65" s="47" t="s">
        <v>148</v>
      </c>
      <c r="L65" s="45" t="s">
        <v>149</v>
      </c>
      <c r="M65" s="45" t="s">
        <v>150</v>
      </c>
      <c r="N65" s="45" t="s">
        <v>151</v>
      </c>
    </row>
    <row r="66" spans="1:14" s="48" customFormat="1" ht="13" hidden="1" x14ac:dyDescent="0.3">
      <c r="A66" s="44" t="s">
        <v>57</v>
      </c>
      <c r="B66" s="44">
        <v>44209</v>
      </c>
      <c r="C66" s="44" t="str">
        <f t="shared" si="1"/>
        <v>14-Jan-21 Thu</v>
      </c>
      <c r="D66" s="44" t="str">
        <f t="shared" si="2"/>
        <v>26-Jan-21 Tue</v>
      </c>
      <c r="E66" s="44" t="str">
        <f t="shared" si="3"/>
        <v>10-Feb-21 Wed</v>
      </c>
      <c r="F66" s="45" t="s">
        <v>121</v>
      </c>
      <c r="G66" s="49" t="s">
        <v>150</v>
      </c>
      <c r="H66" s="49" t="s">
        <v>151</v>
      </c>
      <c r="I66" s="45" t="s">
        <v>152</v>
      </c>
      <c r="J66" s="45" t="s">
        <v>152</v>
      </c>
      <c r="K66" s="45" t="s">
        <v>153</v>
      </c>
      <c r="L66" s="45" t="s">
        <v>154</v>
      </c>
      <c r="M66" s="47" t="s">
        <v>154</v>
      </c>
      <c r="N66" s="47" t="s">
        <v>155</v>
      </c>
    </row>
    <row r="67" spans="1:14" s="48" customFormat="1" ht="13" hidden="1" x14ac:dyDescent="0.3">
      <c r="A67" s="44" t="s">
        <v>58</v>
      </c>
      <c r="B67" s="44">
        <v>44237</v>
      </c>
      <c r="C67" s="44" t="str">
        <f t="shared" si="1"/>
        <v>11-Feb-21 Thu</v>
      </c>
      <c r="D67" s="44" t="str">
        <f t="shared" si="2"/>
        <v>24-Feb-21 Wed</v>
      </c>
      <c r="E67" s="44" t="str">
        <f t="shared" si="3"/>
        <v>10-Mar-21 Wed</v>
      </c>
      <c r="F67" s="45" t="s">
        <v>121</v>
      </c>
      <c r="G67" s="45" t="s">
        <v>155</v>
      </c>
      <c r="H67" s="45" t="s">
        <v>156</v>
      </c>
      <c r="I67" s="45" t="s">
        <v>157</v>
      </c>
      <c r="J67" s="45" t="s">
        <v>157</v>
      </c>
      <c r="K67" s="45" t="s">
        <v>158</v>
      </c>
      <c r="L67" s="45" t="s">
        <v>159</v>
      </c>
      <c r="M67" s="45" t="s">
        <v>160</v>
      </c>
      <c r="N67" s="45" t="s">
        <v>161</v>
      </c>
    </row>
    <row r="68" spans="1:14" s="48" customFormat="1" ht="13" hidden="1" x14ac:dyDescent="0.3">
      <c r="A68" s="44" t="s">
        <v>59</v>
      </c>
      <c r="B68" s="44">
        <v>44265</v>
      </c>
      <c r="C68" s="44" t="str">
        <f t="shared" si="1"/>
        <v>11-Mar-21 Thu</v>
      </c>
      <c r="D68" s="44" t="str">
        <f t="shared" si="2"/>
        <v>24-Mar-21 Wed</v>
      </c>
      <c r="E68" s="44" t="str">
        <f t="shared" si="3"/>
        <v>14-Apr-21 Wed</v>
      </c>
      <c r="F68" s="45" t="s">
        <v>121</v>
      </c>
      <c r="G68" s="45" t="s">
        <v>162</v>
      </c>
      <c r="H68" s="45" t="s">
        <v>163</v>
      </c>
      <c r="I68" s="45" t="s">
        <v>164</v>
      </c>
      <c r="J68" s="45" t="s">
        <v>164</v>
      </c>
      <c r="K68" s="45" t="s">
        <v>165</v>
      </c>
      <c r="L68" s="45" t="s">
        <v>166</v>
      </c>
      <c r="M68" s="45" t="s">
        <v>167</v>
      </c>
      <c r="N68" s="45" t="s">
        <v>168</v>
      </c>
    </row>
    <row r="69" spans="1:14" s="48" customFormat="1" ht="13" hidden="1" x14ac:dyDescent="0.3">
      <c r="A69" s="44" t="s">
        <v>60</v>
      </c>
      <c r="B69" s="44">
        <v>44300</v>
      </c>
      <c r="C69" s="44" t="str">
        <f t="shared" si="1"/>
        <v>15-Apr-21 Thu</v>
      </c>
      <c r="D69" s="44" t="str">
        <f t="shared" si="2"/>
        <v>28-Apr-21 Wed</v>
      </c>
      <c r="E69" s="44" t="str">
        <f t="shared" si="3"/>
        <v>12-May-21 Wed</v>
      </c>
      <c r="F69" s="45" t="s">
        <v>121</v>
      </c>
      <c r="G69" s="45" t="s">
        <v>167</v>
      </c>
      <c r="H69" s="45" t="s">
        <v>168</v>
      </c>
      <c r="I69" s="45" t="s">
        <v>169</v>
      </c>
      <c r="J69" s="45" t="s">
        <v>169</v>
      </c>
      <c r="K69" s="45" t="s">
        <v>170</v>
      </c>
      <c r="L69" s="45" t="s">
        <v>171</v>
      </c>
      <c r="M69" s="45" t="s">
        <v>172</v>
      </c>
      <c r="N69" s="45" t="s">
        <v>173</v>
      </c>
    </row>
    <row r="70" spans="1:14" s="48" customFormat="1" ht="13" hidden="1" x14ac:dyDescent="0.3">
      <c r="A70" s="44" t="s">
        <v>61</v>
      </c>
      <c r="B70" s="44">
        <v>44328</v>
      </c>
      <c r="C70" s="44" t="str">
        <f t="shared" si="1"/>
        <v>13-May-21 Thu</v>
      </c>
      <c r="D70" s="44" t="str">
        <f t="shared" si="2"/>
        <v>26-May-21 Wed</v>
      </c>
      <c r="E70" s="44" t="str">
        <f t="shared" si="3"/>
        <v>9-Jun-21 Wed</v>
      </c>
      <c r="F70" s="45" t="s">
        <v>121</v>
      </c>
      <c r="G70" s="45" t="s">
        <v>174</v>
      </c>
      <c r="H70" s="45" t="s">
        <v>173</v>
      </c>
      <c r="I70" s="45" t="s">
        <v>175</v>
      </c>
      <c r="J70" s="45" t="s">
        <v>175</v>
      </c>
      <c r="K70" s="45" t="s">
        <v>176</v>
      </c>
      <c r="L70" s="45" t="s">
        <v>177</v>
      </c>
      <c r="M70" s="45" t="s">
        <v>178</v>
      </c>
      <c r="N70" s="45" t="s">
        <v>179</v>
      </c>
    </row>
    <row r="71" spans="1:14" s="48" customFormat="1" ht="13" hidden="1" x14ac:dyDescent="0.3">
      <c r="A71" s="44" t="s">
        <v>62</v>
      </c>
      <c r="B71" s="44">
        <v>44356</v>
      </c>
      <c r="C71" s="44" t="str">
        <f t="shared" si="1"/>
        <v>10-Jun-21 Thu</v>
      </c>
      <c r="D71" s="44" t="str">
        <f t="shared" si="2"/>
        <v>23-Jun-21 Wed</v>
      </c>
      <c r="E71" s="44" t="str">
        <f t="shared" si="3"/>
        <v>14-Jul-21 Wed</v>
      </c>
      <c r="F71" s="45" t="s">
        <v>121</v>
      </c>
      <c r="G71" s="45" t="s">
        <v>180</v>
      </c>
      <c r="H71" s="45" t="s">
        <v>181</v>
      </c>
      <c r="I71" s="45" t="s">
        <v>182</v>
      </c>
      <c r="J71" s="45" t="s">
        <v>182</v>
      </c>
      <c r="K71" s="45" t="s">
        <v>183</v>
      </c>
      <c r="L71" s="45" t="s">
        <v>184</v>
      </c>
      <c r="M71" s="45" t="s">
        <v>185</v>
      </c>
      <c r="N71" s="49" t="s">
        <v>186</v>
      </c>
    </row>
    <row r="72" spans="1:14" s="48" customFormat="1" ht="13" hidden="1" x14ac:dyDescent="0.3">
      <c r="A72" s="44" t="s">
        <v>63</v>
      </c>
      <c r="B72" s="44">
        <v>44391</v>
      </c>
      <c r="C72" s="44" t="str">
        <f t="shared" si="1"/>
        <v>15-Jul-21 Thu</v>
      </c>
      <c r="D72" s="44" t="str">
        <f t="shared" si="2"/>
        <v>28-Jul-21 Wed</v>
      </c>
      <c r="E72" s="44" t="str">
        <f t="shared" si="3"/>
        <v>11-Aug-21 Wed</v>
      </c>
      <c r="F72" s="45" t="s">
        <v>121</v>
      </c>
      <c r="G72" s="45" t="s">
        <v>187</v>
      </c>
      <c r="H72" s="45" t="s">
        <v>188</v>
      </c>
      <c r="I72" s="45" t="s">
        <v>189</v>
      </c>
      <c r="J72" s="45" t="s">
        <v>189</v>
      </c>
      <c r="K72" s="45" t="s">
        <v>190</v>
      </c>
      <c r="L72" s="45" t="s">
        <v>191</v>
      </c>
      <c r="M72" s="47" t="s">
        <v>191</v>
      </c>
      <c r="N72" s="47" t="s">
        <v>192</v>
      </c>
    </row>
    <row r="73" spans="1:14" s="48" customFormat="1" ht="13" hidden="1" x14ac:dyDescent="0.3">
      <c r="A73" s="44" t="s">
        <v>64</v>
      </c>
      <c r="B73" s="44">
        <v>44419</v>
      </c>
      <c r="C73" s="44" t="str">
        <f t="shared" si="1"/>
        <v>12-Aug-21 Thu</v>
      </c>
      <c r="D73" s="44" t="str">
        <f t="shared" si="2"/>
        <v>25-Aug-21 Wed</v>
      </c>
      <c r="E73" s="44" t="str">
        <f t="shared" si="3"/>
        <v>15-Sep-21 Wed</v>
      </c>
      <c r="F73" s="45" t="s">
        <v>121</v>
      </c>
      <c r="G73" s="45" t="s">
        <v>193</v>
      </c>
      <c r="H73" s="45" t="s">
        <v>194</v>
      </c>
      <c r="I73" s="45" t="s">
        <v>195</v>
      </c>
      <c r="J73" s="45" t="s">
        <v>195</v>
      </c>
      <c r="K73" s="45" t="s">
        <v>196</v>
      </c>
      <c r="L73" s="45" t="s">
        <v>197</v>
      </c>
      <c r="M73" s="47" t="s">
        <v>197</v>
      </c>
      <c r="N73" s="47" t="s">
        <v>198</v>
      </c>
    </row>
    <row r="74" spans="1:14" s="48" customFormat="1" ht="13" hidden="1" x14ac:dyDescent="0.3">
      <c r="A74" s="44" t="s">
        <v>65</v>
      </c>
      <c r="B74" s="44">
        <v>44454</v>
      </c>
      <c r="C74" s="44" t="str">
        <f t="shared" si="1"/>
        <v>16-Sep-21 Thu</v>
      </c>
      <c r="D74" s="44" t="str">
        <f t="shared" si="2"/>
        <v>29-Sep-21 Wed</v>
      </c>
      <c r="E74" s="44" t="str">
        <f t="shared" si="3"/>
        <v>13-Oct-21 Wed</v>
      </c>
      <c r="F74" s="45" t="s">
        <v>121</v>
      </c>
      <c r="G74" s="45" t="s">
        <v>199</v>
      </c>
      <c r="H74" s="45" t="s">
        <v>200</v>
      </c>
      <c r="I74" s="45" t="s">
        <v>201</v>
      </c>
      <c r="J74" s="45" t="s">
        <v>201</v>
      </c>
      <c r="K74" s="45" t="s">
        <v>202</v>
      </c>
      <c r="L74" s="45" t="s">
        <v>203</v>
      </c>
      <c r="M74" s="45" t="s">
        <v>204</v>
      </c>
      <c r="N74" s="45" t="s">
        <v>205</v>
      </c>
    </row>
    <row r="75" spans="1:14" s="48" customFormat="1" ht="13" hidden="1" x14ac:dyDescent="0.3">
      <c r="A75" s="44" t="s">
        <v>66</v>
      </c>
      <c r="B75" s="44">
        <v>44482</v>
      </c>
      <c r="C75" s="44" t="str">
        <f t="shared" si="1"/>
        <v>14-Oct-21 Thu</v>
      </c>
      <c r="D75" s="44" t="str">
        <f t="shared" si="2"/>
        <v>27-Oct-21 Wed</v>
      </c>
      <c r="E75" s="44" t="str">
        <f t="shared" si="3"/>
        <v>17-Nov-21 Wed</v>
      </c>
      <c r="F75" s="45" t="s">
        <v>121</v>
      </c>
      <c r="G75" s="45" t="s">
        <v>206</v>
      </c>
      <c r="H75" s="45" t="s">
        <v>207</v>
      </c>
      <c r="I75" s="45" t="s">
        <v>208</v>
      </c>
      <c r="J75" s="45" t="s">
        <v>208</v>
      </c>
      <c r="K75" s="45" t="s">
        <v>209</v>
      </c>
      <c r="L75" s="45" t="s">
        <v>210</v>
      </c>
      <c r="M75" s="45" t="s">
        <v>211</v>
      </c>
      <c r="N75" s="45" t="s">
        <v>212</v>
      </c>
    </row>
    <row r="76" spans="1:14" s="48" customFormat="1" ht="13" hidden="1" x14ac:dyDescent="0.3">
      <c r="A76" s="50" t="s">
        <v>67</v>
      </c>
      <c r="B76" s="51">
        <v>44517</v>
      </c>
      <c r="C76" s="52" t="str">
        <f t="shared" si="1"/>
        <v>18-Nov-21 Thu</v>
      </c>
      <c r="D76" s="52" t="str">
        <f t="shared" si="2"/>
        <v>01-Dec-21 Wed</v>
      </c>
      <c r="E76" s="52">
        <f t="shared" si="3"/>
        <v>44545</v>
      </c>
      <c r="F76" s="53" t="s">
        <v>121</v>
      </c>
      <c r="G76" s="52">
        <f>H76-1</f>
        <v>44545</v>
      </c>
      <c r="H76" s="52">
        <v>44546</v>
      </c>
      <c r="I76" s="52">
        <v>44558</v>
      </c>
      <c r="J76" s="52">
        <v>44558</v>
      </c>
      <c r="K76" s="52">
        <v>44559</v>
      </c>
      <c r="L76" s="52">
        <v>44572</v>
      </c>
      <c r="M76" s="52">
        <v>44572</v>
      </c>
      <c r="N76" s="52">
        <v>44573</v>
      </c>
    </row>
    <row r="77" spans="1:14" s="48" customFormat="1" ht="13" hidden="1" x14ac:dyDescent="0.3">
      <c r="A77" s="50" t="s">
        <v>68</v>
      </c>
      <c r="B77" s="51">
        <f>C77-1</f>
        <v>44545</v>
      </c>
      <c r="C77" s="52">
        <f t="shared" si="1"/>
        <v>44546</v>
      </c>
      <c r="D77" s="52">
        <f t="shared" si="2"/>
        <v>44559</v>
      </c>
      <c r="E77" s="52">
        <f t="shared" si="3"/>
        <v>44572</v>
      </c>
      <c r="F77" s="53" t="s">
        <v>121</v>
      </c>
      <c r="G77" s="52">
        <f>H77-1</f>
        <v>44572</v>
      </c>
      <c r="H77" s="52">
        <f>I77-12</f>
        <v>44573</v>
      </c>
      <c r="I77" s="52">
        <v>44585</v>
      </c>
      <c r="J77" s="52">
        <v>44585</v>
      </c>
      <c r="K77" s="52">
        <v>44586</v>
      </c>
      <c r="L77" s="52">
        <v>44600</v>
      </c>
      <c r="M77" s="52">
        <v>44601</v>
      </c>
      <c r="N77" s="52">
        <v>44602</v>
      </c>
    </row>
    <row r="78" spans="1:14" s="48" customFormat="1" ht="13" hidden="1" x14ac:dyDescent="0.3">
      <c r="A78" s="50" t="s">
        <v>69</v>
      </c>
      <c r="B78" s="51">
        <f>C78-1</f>
        <v>44572</v>
      </c>
      <c r="C78" s="52">
        <f t="shared" si="1"/>
        <v>44573</v>
      </c>
      <c r="D78" s="52">
        <f t="shared" si="2"/>
        <v>44586</v>
      </c>
      <c r="E78" s="52">
        <f t="shared" si="3"/>
        <v>44601</v>
      </c>
      <c r="F78" s="53" t="s">
        <v>121</v>
      </c>
      <c r="G78" s="52">
        <f>H78-1</f>
        <v>44601</v>
      </c>
      <c r="H78" s="52">
        <f>I78-12</f>
        <v>44602</v>
      </c>
      <c r="I78" s="52">
        <v>44614</v>
      </c>
      <c r="J78" s="52">
        <v>44614</v>
      </c>
      <c r="K78" s="52">
        <v>44615</v>
      </c>
      <c r="L78" s="52">
        <v>44628</v>
      </c>
      <c r="M78" s="52">
        <v>44629</v>
      </c>
      <c r="N78" s="52">
        <v>44630</v>
      </c>
    </row>
    <row r="79" spans="1:14" s="48" customFormat="1" ht="13" hidden="1" x14ac:dyDescent="0.3">
      <c r="A79" s="50" t="s">
        <v>70</v>
      </c>
      <c r="B79" s="51">
        <f>C79-1</f>
        <v>44601</v>
      </c>
      <c r="C79" s="52">
        <f t="shared" si="1"/>
        <v>44602</v>
      </c>
      <c r="D79" s="52">
        <f t="shared" si="2"/>
        <v>44615</v>
      </c>
      <c r="E79" s="52" t="str">
        <f t="shared" si="3"/>
        <v>9-Mar-22 Wed</v>
      </c>
      <c r="F79" s="53" t="s">
        <v>121</v>
      </c>
      <c r="G79" s="52" t="s">
        <v>213</v>
      </c>
      <c r="H79" s="52" t="s">
        <v>214</v>
      </c>
      <c r="I79" s="52">
        <v>44642</v>
      </c>
      <c r="J79" s="52">
        <v>44642</v>
      </c>
      <c r="K79" s="52">
        <v>44643</v>
      </c>
      <c r="L79" s="52">
        <v>44656</v>
      </c>
      <c r="M79" s="52">
        <v>44657</v>
      </c>
      <c r="N79" s="52">
        <v>44658</v>
      </c>
    </row>
    <row r="80" spans="1:14" s="48" customFormat="1" ht="13" hidden="1" x14ac:dyDescent="0.3">
      <c r="A80" s="50" t="s">
        <v>71</v>
      </c>
      <c r="B80" s="51">
        <v>44629</v>
      </c>
      <c r="C80" s="52">
        <v>44630</v>
      </c>
      <c r="D80" s="52">
        <f t="shared" si="2"/>
        <v>44643</v>
      </c>
      <c r="E80" s="52">
        <f t="shared" si="3"/>
        <v>44664</v>
      </c>
      <c r="F80" s="53" t="s">
        <v>121</v>
      </c>
      <c r="G80" s="52">
        <f t="shared" ref="G80:G87" si="4">H80-1</f>
        <v>44664</v>
      </c>
      <c r="H80" s="52">
        <f t="shared" ref="H80:H95" si="5">I80-12</f>
        <v>44665</v>
      </c>
      <c r="I80" s="52">
        <v>44677</v>
      </c>
      <c r="J80" s="52">
        <v>44677</v>
      </c>
      <c r="K80" s="52">
        <v>44678</v>
      </c>
      <c r="L80" s="52">
        <v>44691</v>
      </c>
      <c r="M80" s="52">
        <v>44692</v>
      </c>
      <c r="N80" s="52">
        <v>44693</v>
      </c>
    </row>
    <row r="81" spans="1:14" s="48" customFormat="1" ht="13" hidden="1" x14ac:dyDescent="0.3">
      <c r="A81" s="50" t="s">
        <v>72</v>
      </c>
      <c r="B81" s="51">
        <f t="shared" ref="B81:B95" si="6">C81-1</f>
        <v>44664</v>
      </c>
      <c r="C81" s="52">
        <f t="shared" ref="C81:C95" si="7">H80</f>
        <v>44665</v>
      </c>
      <c r="D81" s="52">
        <f t="shared" si="2"/>
        <v>44678</v>
      </c>
      <c r="E81" s="52">
        <f t="shared" si="3"/>
        <v>44692</v>
      </c>
      <c r="F81" s="53" t="s">
        <v>121</v>
      </c>
      <c r="G81" s="52">
        <f t="shared" si="4"/>
        <v>44692</v>
      </c>
      <c r="H81" s="52">
        <f t="shared" si="5"/>
        <v>44693</v>
      </c>
      <c r="I81" s="52">
        <v>44705</v>
      </c>
      <c r="J81" s="52">
        <v>44705</v>
      </c>
      <c r="K81" s="52">
        <v>44706</v>
      </c>
      <c r="L81" s="52">
        <v>44719</v>
      </c>
      <c r="M81" s="52">
        <v>44720</v>
      </c>
      <c r="N81" s="52">
        <v>44721</v>
      </c>
    </row>
    <row r="82" spans="1:14" s="48" customFormat="1" ht="13" hidden="1" x14ac:dyDescent="0.3">
      <c r="A82" s="50" t="s">
        <v>73</v>
      </c>
      <c r="B82" s="51">
        <f t="shared" si="6"/>
        <v>44692</v>
      </c>
      <c r="C82" s="52">
        <f t="shared" si="7"/>
        <v>44693</v>
      </c>
      <c r="D82" s="52">
        <f t="shared" si="2"/>
        <v>44706</v>
      </c>
      <c r="E82" s="52">
        <f t="shared" si="3"/>
        <v>44727</v>
      </c>
      <c r="F82" s="53" t="s">
        <v>121</v>
      </c>
      <c r="G82" s="52">
        <f t="shared" si="4"/>
        <v>44727</v>
      </c>
      <c r="H82" s="52">
        <f t="shared" si="5"/>
        <v>44728</v>
      </c>
      <c r="I82" s="52">
        <v>44740</v>
      </c>
      <c r="J82" s="52">
        <v>44740</v>
      </c>
      <c r="K82" s="52">
        <v>44741</v>
      </c>
      <c r="L82" s="52">
        <v>44754</v>
      </c>
      <c r="M82" s="52">
        <v>44755</v>
      </c>
      <c r="N82" s="52">
        <v>44756</v>
      </c>
    </row>
    <row r="83" spans="1:14" s="48" customFormat="1" ht="13" hidden="1" x14ac:dyDescent="0.3">
      <c r="A83" s="50" t="s">
        <v>74</v>
      </c>
      <c r="B83" s="51">
        <f t="shared" si="6"/>
        <v>44727</v>
      </c>
      <c r="C83" s="52">
        <f t="shared" si="7"/>
        <v>44728</v>
      </c>
      <c r="D83" s="52">
        <f t="shared" si="2"/>
        <v>44741</v>
      </c>
      <c r="E83" s="52">
        <f t="shared" si="3"/>
        <v>44755</v>
      </c>
      <c r="F83" s="53" t="s">
        <v>121</v>
      </c>
      <c r="G83" s="52">
        <f t="shared" si="4"/>
        <v>44755</v>
      </c>
      <c r="H83" s="52">
        <f t="shared" si="5"/>
        <v>44756</v>
      </c>
      <c r="I83" s="52">
        <v>44768</v>
      </c>
      <c r="J83" s="52">
        <v>44768</v>
      </c>
      <c r="K83" s="52">
        <v>44769</v>
      </c>
      <c r="L83" s="52">
        <v>44782</v>
      </c>
      <c r="M83" s="52">
        <v>44783</v>
      </c>
      <c r="N83" s="52">
        <v>44784</v>
      </c>
    </row>
    <row r="84" spans="1:14" s="48" customFormat="1" ht="13" hidden="1" x14ac:dyDescent="0.3">
      <c r="A84" s="50" t="s">
        <v>75</v>
      </c>
      <c r="B84" s="51">
        <f t="shared" si="6"/>
        <v>44755</v>
      </c>
      <c r="C84" s="52">
        <f t="shared" si="7"/>
        <v>44756</v>
      </c>
      <c r="D84" s="52">
        <f t="shared" si="2"/>
        <v>44769</v>
      </c>
      <c r="E84" s="52">
        <f t="shared" si="3"/>
        <v>44783</v>
      </c>
      <c r="F84" s="53" t="s">
        <v>121</v>
      </c>
      <c r="G84" s="52">
        <f t="shared" si="4"/>
        <v>44783</v>
      </c>
      <c r="H84" s="52">
        <f t="shared" si="5"/>
        <v>44784</v>
      </c>
      <c r="I84" s="52">
        <v>44796</v>
      </c>
      <c r="J84" s="52">
        <v>44796</v>
      </c>
      <c r="K84" s="52">
        <v>44797</v>
      </c>
      <c r="L84" s="52">
        <v>44810</v>
      </c>
      <c r="M84" s="52">
        <v>44811</v>
      </c>
      <c r="N84" s="52">
        <v>44812</v>
      </c>
    </row>
    <row r="85" spans="1:14" s="48" customFormat="1" ht="13" hidden="1" x14ac:dyDescent="0.3">
      <c r="A85" s="50" t="s">
        <v>76</v>
      </c>
      <c r="B85" s="51">
        <f t="shared" si="6"/>
        <v>44783</v>
      </c>
      <c r="C85" s="52">
        <f t="shared" si="7"/>
        <v>44784</v>
      </c>
      <c r="D85" s="52">
        <f t="shared" si="2"/>
        <v>44797</v>
      </c>
      <c r="E85" s="52">
        <f t="shared" si="3"/>
        <v>44818</v>
      </c>
      <c r="F85" s="53" t="s">
        <v>121</v>
      </c>
      <c r="G85" s="52">
        <f t="shared" si="4"/>
        <v>44818</v>
      </c>
      <c r="H85" s="52">
        <f t="shared" si="5"/>
        <v>44819</v>
      </c>
      <c r="I85" s="52">
        <v>44831</v>
      </c>
      <c r="J85" s="52">
        <v>44831</v>
      </c>
      <c r="K85" s="52">
        <v>44832</v>
      </c>
      <c r="L85" s="52">
        <v>44845</v>
      </c>
      <c r="M85" s="52">
        <v>44846</v>
      </c>
      <c r="N85" s="52">
        <v>44847</v>
      </c>
    </row>
    <row r="86" spans="1:14" s="48" customFormat="1" ht="13" hidden="1" x14ac:dyDescent="0.3">
      <c r="A86" s="50" t="s">
        <v>77</v>
      </c>
      <c r="B86" s="51">
        <f t="shared" si="6"/>
        <v>44818</v>
      </c>
      <c r="C86" s="52">
        <f t="shared" si="7"/>
        <v>44819</v>
      </c>
      <c r="D86" s="52">
        <f t="shared" si="2"/>
        <v>44832</v>
      </c>
      <c r="E86" s="52">
        <f t="shared" si="3"/>
        <v>44846</v>
      </c>
      <c r="F86" s="53" t="s">
        <v>121</v>
      </c>
      <c r="G86" s="52">
        <f t="shared" si="4"/>
        <v>44846</v>
      </c>
      <c r="H86" s="52">
        <f t="shared" si="5"/>
        <v>44847</v>
      </c>
      <c r="I86" s="52">
        <v>44859</v>
      </c>
      <c r="J86" s="52">
        <v>44859</v>
      </c>
      <c r="K86" s="52">
        <v>44860</v>
      </c>
      <c r="L86" s="52">
        <v>44873</v>
      </c>
      <c r="M86" s="52">
        <v>44873</v>
      </c>
      <c r="N86" s="52">
        <v>44874</v>
      </c>
    </row>
    <row r="87" spans="1:14" s="48" customFormat="1" ht="13" hidden="1" x14ac:dyDescent="0.3">
      <c r="A87" s="50" t="s">
        <v>78</v>
      </c>
      <c r="B87" s="51">
        <f t="shared" si="6"/>
        <v>44846</v>
      </c>
      <c r="C87" s="52">
        <f t="shared" si="7"/>
        <v>44847</v>
      </c>
      <c r="D87" s="52">
        <f t="shared" si="2"/>
        <v>44860</v>
      </c>
      <c r="E87" s="52">
        <f t="shared" si="3"/>
        <v>44881</v>
      </c>
      <c r="F87" s="53" t="s">
        <v>121</v>
      </c>
      <c r="G87" s="52">
        <f t="shared" si="4"/>
        <v>44881</v>
      </c>
      <c r="H87" s="52">
        <f t="shared" si="5"/>
        <v>44882</v>
      </c>
      <c r="I87" s="52">
        <v>44894</v>
      </c>
      <c r="J87" s="52">
        <v>44894</v>
      </c>
      <c r="K87" s="52">
        <v>44895</v>
      </c>
      <c r="L87" s="52">
        <v>44908</v>
      </c>
      <c r="M87" s="52">
        <v>44909</v>
      </c>
      <c r="N87" s="52">
        <v>44910</v>
      </c>
    </row>
    <row r="88" spans="1:14" ht="13" hidden="1" x14ac:dyDescent="0.25">
      <c r="A88" s="55" t="s">
        <v>79</v>
      </c>
      <c r="B88" s="56">
        <f t="shared" si="6"/>
        <v>44881</v>
      </c>
      <c r="C88" s="56">
        <f t="shared" si="7"/>
        <v>44882</v>
      </c>
      <c r="D88" s="56">
        <f t="shared" si="2"/>
        <v>44895</v>
      </c>
      <c r="E88" s="56">
        <v>44909</v>
      </c>
      <c r="F88" s="56" t="s">
        <v>121</v>
      </c>
      <c r="G88" s="56">
        <v>44909</v>
      </c>
      <c r="H88" s="56">
        <f t="shared" si="5"/>
        <v>44910</v>
      </c>
      <c r="I88" s="56">
        <v>44922</v>
      </c>
      <c r="J88" s="56">
        <v>44922</v>
      </c>
      <c r="K88" s="56">
        <v>44923</v>
      </c>
      <c r="L88" s="56">
        <v>44936</v>
      </c>
      <c r="M88" s="56">
        <v>44937</v>
      </c>
      <c r="N88" s="56">
        <v>44938</v>
      </c>
    </row>
    <row r="89" spans="1:14" ht="13" hidden="1" x14ac:dyDescent="0.25">
      <c r="A89" s="55" t="s">
        <v>80</v>
      </c>
      <c r="B89" s="56">
        <f t="shared" si="6"/>
        <v>44909</v>
      </c>
      <c r="C89" s="56">
        <f t="shared" si="7"/>
        <v>44910</v>
      </c>
      <c r="D89" s="56">
        <f t="shared" si="2"/>
        <v>44923</v>
      </c>
      <c r="E89" s="56">
        <v>44937</v>
      </c>
      <c r="F89" s="56" t="s">
        <v>121</v>
      </c>
      <c r="G89" s="56">
        <v>44937</v>
      </c>
      <c r="H89" s="56">
        <f t="shared" si="5"/>
        <v>44938</v>
      </c>
      <c r="I89" s="56">
        <v>44950</v>
      </c>
      <c r="J89" s="56">
        <v>44950</v>
      </c>
      <c r="K89" s="56">
        <v>44951</v>
      </c>
      <c r="L89" s="56">
        <v>44964</v>
      </c>
      <c r="M89" s="56">
        <v>44965</v>
      </c>
      <c r="N89" s="56">
        <v>44966</v>
      </c>
    </row>
    <row r="90" spans="1:14" ht="13" hidden="1" x14ac:dyDescent="0.25">
      <c r="A90" s="55" t="s">
        <v>81</v>
      </c>
      <c r="B90" s="56">
        <f t="shared" si="6"/>
        <v>44937</v>
      </c>
      <c r="C90" s="56">
        <f t="shared" si="7"/>
        <v>44938</v>
      </c>
      <c r="D90" s="56">
        <f t="shared" si="2"/>
        <v>44951</v>
      </c>
      <c r="E90" s="56">
        <v>44965</v>
      </c>
      <c r="F90" s="56" t="s">
        <v>121</v>
      </c>
      <c r="G90" s="56">
        <v>44965</v>
      </c>
      <c r="H90" s="56">
        <f t="shared" si="5"/>
        <v>44966</v>
      </c>
      <c r="I90" s="56">
        <v>44978</v>
      </c>
      <c r="J90" s="56">
        <v>44978</v>
      </c>
      <c r="K90" s="56">
        <v>44979</v>
      </c>
      <c r="L90" s="56">
        <v>44992</v>
      </c>
      <c r="M90" s="56">
        <v>44993</v>
      </c>
      <c r="N90" s="56">
        <v>44994</v>
      </c>
    </row>
    <row r="91" spans="1:14" ht="13" hidden="1" x14ac:dyDescent="0.25">
      <c r="A91" s="55" t="s">
        <v>82</v>
      </c>
      <c r="B91" s="56">
        <f t="shared" si="6"/>
        <v>44965</v>
      </c>
      <c r="C91" s="56">
        <f t="shared" si="7"/>
        <v>44966</v>
      </c>
      <c r="D91" s="56">
        <f t="shared" si="2"/>
        <v>44979</v>
      </c>
      <c r="E91" s="56">
        <v>45000</v>
      </c>
      <c r="F91" s="56" t="s">
        <v>121</v>
      </c>
      <c r="G91" s="56">
        <v>45000</v>
      </c>
      <c r="H91" s="56">
        <f t="shared" si="5"/>
        <v>45001</v>
      </c>
      <c r="I91" s="56">
        <v>45013</v>
      </c>
      <c r="J91" s="56">
        <v>45013</v>
      </c>
      <c r="K91" s="56">
        <v>45014</v>
      </c>
      <c r="L91" s="56">
        <v>45027</v>
      </c>
      <c r="M91" s="56">
        <v>45028</v>
      </c>
      <c r="N91" s="56">
        <v>45029</v>
      </c>
    </row>
    <row r="92" spans="1:14" s="59" customFormat="1" ht="13" hidden="1" x14ac:dyDescent="0.25">
      <c r="A92" s="55" t="s">
        <v>215</v>
      </c>
      <c r="B92" s="56">
        <f t="shared" si="6"/>
        <v>45000</v>
      </c>
      <c r="C92" s="56">
        <f t="shared" si="7"/>
        <v>45001</v>
      </c>
      <c r="D92" s="56">
        <f t="shared" si="2"/>
        <v>45014</v>
      </c>
      <c r="E92" s="56">
        <v>45028</v>
      </c>
      <c r="F92" s="56" t="s">
        <v>121</v>
      </c>
      <c r="G92" s="56">
        <v>45028</v>
      </c>
      <c r="H92" s="56">
        <f t="shared" si="5"/>
        <v>45029</v>
      </c>
      <c r="I92" s="56">
        <v>45041</v>
      </c>
      <c r="J92" s="56">
        <v>45041</v>
      </c>
      <c r="K92" s="56">
        <v>45042</v>
      </c>
      <c r="L92" s="56">
        <v>45055</v>
      </c>
      <c r="M92" s="57">
        <v>45056</v>
      </c>
      <c r="N92" s="57">
        <v>45057</v>
      </c>
    </row>
    <row r="93" spans="1:14" ht="13" hidden="1" x14ac:dyDescent="0.25">
      <c r="A93" s="55" t="s">
        <v>83</v>
      </c>
      <c r="B93" s="56">
        <f t="shared" si="6"/>
        <v>45028</v>
      </c>
      <c r="C93" s="56">
        <f t="shared" si="7"/>
        <v>45029</v>
      </c>
      <c r="D93" s="56">
        <f t="shared" si="2"/>
        <v>45042</v>
      </c>
      <c r="E93" s="56">
        <v>45056</v>
      </c>
      <c r="F93" s="56" t="s">
        <v>121</v>
      </c>
      <c r="G93" s="56">
        <v>45056</v>
      </c>
      <c r="H93" s="56">
        <f t="shared" si="5"/>
        <v>45057</v>
      </c>
      <c r="I93" s="56">
        <v>45069</v>
      </c>
      <c r="J93" s="56">
        <v>45069</v>
      </c>
      <c r="K93" s="56">
        <v>45070</v>
      </c>
      <c r="L93" s="56">
        <v>45083</v>
      </c>
      <c r="M93" s="56">
        <v>45084</v>
      </c>
      <c r="N93" s="56">
        <v>45085</v>
      </c>
    </row>
    <row r="94" spans="1:14" s="59" customFormat="1" ht="13" hidden="1" x14ac:dyDescent="0.25">
      <c r="A94" s="55" t="s">
        <v>84</v>
      </c>
      <c r="B94" s="56">
        <f t="shared" si="6"/>
        <v>45056</v>
      </c>
      <c r="C94" s="56">
        <f t="shared" si="7"/>
        <v>45057</v>
      </c>
      <c r="D94" s="56">
        <f t="shared" si="2"/>
        <v>45070</v>
      </c>
      <c r="E94" s="56">
        <v>45091</v>
      </c>
      <c r="F94" s="56" t="s">
        <v>121</v>
      </c>
      <c r="G94" s="56">
        <v>45091</v>
      </c>
      <c r="H94" s="56">
        <f t="shared" si="5"/>
        <v>45092</v>
      </c>
      <c r="I94" s="56">
        <v>45104</v>
      </c>
      <c r="J94" s="56">
        <v>45104</v>
      </c>
      <c r="K94" s="56">
        <v>45105</v>
      </c>
      <c r="L94" s="56">
        <v>45118</v>
      </c>
      <c r="M94" s="57">
        <v>45119</v>
      </c>
      <c r="N94" s="57">
        <v>45120</v>
      </c>
    </row>
    <row r="95" spans="1:14" ht="13" hidden="1" x14ac:dyDescent="0.25">
      <c r="A95" s="55" t="s">
        <v>85</v>
      </c>
      <c r="B95" s="56">
        <f t="shared" si="6"/>
        <v>45091</v>
      </c>
      <c r="C95" s="56">
        <f t="shared" si="7"/>
        <v>45092</v>
      </c>
      <c r="D95" s="56">
        <f t="shared" si="2"/>
        <v>45105</v>
      </c>
      <c r="E95" s="56">
        <v>45119</v>
      </c>
      <c r="F95" s="56" t="s">
        <v>121</v>
      </c>
      <c r="G95" s="56">
        <v>45119</v>
      </c>
      <c r="H95" s="56">
        <f t="shared" si="5"/>
        <v>45120</v>
      </c>
      <c r="I95" s="56">
        <v>45132</v>
      </c>
      <c r="J95" s="56">
        <v>45132</v>
      </c>
      <c r="K95" s="56">
        <v>45133</v>
      </c>
      <c r="L95" s="56">
        <v>45146</v>
      </c>
      <c r="M95" s="57">
        <v>45147</v>
      </c>
      <c r="N95" s="57">
        <v>45148</v>
      </c>
    </row>
    <row r="96" spans="1:14" ht="13" hidden="1" x14ac:dyDescent="0.25">
      <c r="A96" s="55" t="s">
        <v>85</v>
      </c>
      <c r="B96" s="56" t="s">
        <v>216</v>
      </c>
      <c r="C96" s="56" t="s">
        <v>217</v>
      </c>
      <c r="D96" s="56" t="s">
        <v>218</v>
      </c>
      <c r="E96" s="56">
        <v>45133</v>
      </c>
      <c r="F96" s="56" t="s">
        <v>121</v>
      </c>
      <c r="G96" s="56">
        <v>45133</v>
      </c>
      <c r="H96" s="56">
        <v>45134</v>
      </c>
      <c r="I96" s="56">
        <v>45146</v>
      </c>
      <c r="J96" s="56">
        <v>45146</v>
      </c>
      <c r="K96" s="56">
        <v>45147</v>
      </c>
      <c r="L96" s="56">
        <v>45160</v>
      </c>
      <c r="M96" s="56">
        <v>45161</v>
      </c>
      <c r="N96" s="56">
        <v>45162</v>
      </c>
    </row>
    <row r="97" spans="1:14" ht="13" hidden="1" x14ac:dyDescent="0.25">
      <c r="A97" s="55" t="s">
        <v>86</v>
      </c>
      <c r="B97" s="56">
        <v>45119</v>
      </c>
      <c r="C97" s="56">
        <v>45120</v>
      </c>
      <c r="D97" s="56">
        <v>45133</v>
      </c>
      <c r="E97" s="56">
        <v>45147</v>
      </c>
      <c r="F97" s="56" t="s">
        <v>121</v>
      </c>
      <c r="G97" s="56">
        <v>45147</v>
      </c>
      <c r="H97" s="56">
        <v>45148</v>
      </c>
      <c r="I97" s="56">
        <v>45181</v>
      </c>
      <c r="J97" s="56">
        <v>45181</v>
      </c>
      <c r="K97" s="56">
        <v>45182</v>
      </c>
      <c r="L97" s="56">
        <v>45195</v>
      </c>
      <c r="M97" s="56">
        <v>45196</v>
      </c>
      <c r="N97" s="56">
        <v>45197</v>
      </c>
    </row>
    <row r="98" spans="1:14" ht="13" hidden="1" x14ac:dyDescent="0.25">
      <c r="A98" s="55" t="s">
        <v>87</v>
      </c>
      <c r="B98" s="56">
        <v>45147</v>
      </c>
      <c r="C98" s="56">
        <v>45148</v>
      </c>
      <c r="D98" s="56">
        <v>45182</v>
      </c>
      <c r="E98" s="56">
        <v>45189</v>
      </c>
      <c r="F98" s="56" t="s">
        <v>121</v>
      </c>
      <c r="G98" s="56">
        <v>45189</v>
      </c>
      <c r="H98" s="56">
        <v>45190</v>
      </c>
      <c r="I98" s="56">
        <v>45202</v>
      </c>
      <c r="J98" s="56">
        <v>45202</v>
      </c>
      <c r="K98" s="56">
        <v>45203</v>
      </c>
      <c r="L98" s="56">
        <v>45216</v>
      </c>
      <c r="M98" s="56">
        <v>45217</v>
      </c>
      <c r="N98" s="56">
        <v>45218</v>
      </c>
    </row>
    <row r="99" spans="1:14" ht="13" hidden="1" x14ac:dyDescent="0.25">
      <c r="A99" s="55" t="s">
        <v>88</v>
      </c>
      <c r="B99" s="56">
        <v>45189</v>
      </c>
      <c r="C99" s="56">
        <v>45190</v>
      </c>
      <c r="D99" s="56">
        <v>45203</v>
      </c>
      <c r="E99" s="56">
        <v>45210</v>
      </c>
      <c r="F99" s="56" t="s">
        <v>121</v>
      </c>
      <c r="G99" s="56">
        <v>45210</v>
      </c>
      <c r="H99" s="56">
        <v>45211</v>
      </c>
      <c r="I99" s="56">
        <v>45222</v>
      </c>
      <c r="J99" s="56">
        <v>45222</v>
      </c>
      <c r="K99" s="56">
        <v>45224</v>
      </c>
      <c r="L99" s="56">
        <v>45237</v>
      </c>
      <c r="M99" s="56">
        <v>45237</v>
      </c>
      <c r="N99" s="58" t="s">
        <v>219</v>
      </c>
    </row>
    <row r="100" spans="1:14" ht="13" hidden="1" x14ac:dyDescent="0.25">
      <c r="A100" s="55" t="s">
        <v>89</v>
      </c>
      <c r="B100" s="56">
        <v>45210</v>
      </c>
      <c r="C100" s="56">
        <v>45211</v>
      </c>
      <c r="D100" s="56">
        <v>45224</v>
      </c>
      <c r="E100" s="56">
        <v>45245</v>
      </c>
      <c r="F100" s="56" t="s">
        <v>121</v>
      </c>
      <c r="G100" s="56">
        <v>45245</v>
      </c>
      <c r="H100" s="56">
        <v>45246</v>
      </c>
      <c r="I100" s="56">
        <v>45258</v>
      </c>
      <c r="J100" s="56">
        <v>45258</v>
      </c>
      <c r="K100" s="56">
        <v>45259</v>
      </c>
      <c r="L100" s="56">
        <v>45272</v>
      </c>
      <c r="M100" s="56">
        <v>45273</v>
      </c>
      <c r="N100" s="56">
        <v>45274</v>
      </c>
    </row>
    <row r="101" spans="1:14" ht="13" hidden="1" x14ac:dyDescent="0.3">
      <c r="A101" s="60" t="s">
        <v>90</v>
      </c>
      <c r="B101" s="61">
        <v>45245</v>
      </c>
      <c r="C101" s="61">
        <v>45246</v>
      </c>
      <c r="D101" s="61">
        <v>45259</v>
      </c>
      <c r="E101" s="60" t="s">
        <v>220</v>
      </c>
      <c r="F101" s="61" t="s">
        <v>121</v>
      </c>
      <c r="G101" s="60" t="s">
        <v>220</v>
      </c>
      <c r="H101" s="60" t="s">
        <v>221</v>
      </c>
      <c r="I101" s="60" t="s">
        <v>222</v>
      </c>
      <c r="J101" s="60" t="s">
        <v>222</v>
      </c>
      <c r="K101" s="60" t="s">
        <v>223</v>
      </c>
      <c r="L101" s="60" t="s">
        <v>224</v>
      </c>
      <c r="M101" s="60" t="s">
        <v>225</v>
      </c>
      <c r="N101" s="60" t="s">
        <v>226</v>
      </c>
    </row>
    <row r="102" spans="1:14" ht="13" hidden="1" x14ac:dyDescent="0.3">
      <c r="A102" s="60" t="s">
        <v>91</v>
      </c>
      <c r="B102" s="60" t="s">
        <v>220</v>
      </c>
      <c r="C102" s="60" t="s">
        <v>221</v>
      </c>
      <c r="D102" s="60" t="s">
        <v>223</v>
      </c>
      <c r="E102" s="60" t="s">
        <v>225</v>
      </c>
      <c r="F102" s="61" t="s">
        <v>121</v>
      </c>
      <c r="G102" s="60" t="s">
        <v>225</v>
      </c>
      <c r="H102" s="60" t="s">
        <v>226</v>
      </c>
      <c r="I102" s="60" t="s">
        <v>227</v>
      </c>
      <c r="J102" s="60" t="s">
        <v>227</v>
      </c>
      <c r="K102" s="60" t="s">
        <v>228</v>
      </c>
      <c r="L102" s="60" t="s">
        <v>229</v>
      </c>
      <c r="M102" s="60" t="s">
        <v>230</v>
      </c>
      <c r="N102" s="60" t="s">
        <v>231</v>
      </c>
    </row>
    <row r="103" spans="1:14" ht="13" hidden="1" x14ac:dyDescent="0.3">
      <c r="A103" s="60" t="s">
        <v>92</v>
      </c>
      <c r="B103" s="60" t="s">
        <v>225</v>
      </c>
      <c r="C103" s="60" t="s">
        <v>226</v>
      </c>
      <c r="D103" s="60" t="s">
        <v>228</v>
      </c>
      <c r="E103" s="60" t="s">
        <v>232</v>
      </c>
      <c r="F103" s="61" t="s">
        <v>121</v>
      </c>
      <c r="G103" s="60" t="s">
        <v>232</v>
      </c>
      <c r="H103" s="60" t="s">
        <v>233</v>
      </c>
      <c r="I103" s="60" t="s">
        <v>234</v>
      </c>
      <c r="J103" s="60" t="s">
        <v>234</v>
      </c>
      <c r="K103" s="60" t="s">
        <v>235</v>
      </c>
      <c r="L103" s="60" t="s">
        <v>236</v>
      </c>
      <c r="M103" s="60" t="s">
        <v>237</v>
      </c>
      <c r="N103" s="60" t="s">
        <v>238</v>
      </c>
    </row>
    <row r="104" spans="1:14" ht="13" hidden="1" x14ac:dyDescent="0.3">
      <c r="A104" s="60" t="s">
        <v>93</v>
      </c>
      <c r="B104" s="60" t="s">
        <v>232</v>
      </c>
      <c r="C104" s="60" t="s">
        <v>233</v>
      </c>
      <c r="D104" s="60" t="s">
        <v>235</v>
      </c>
      <c r="E104" s="60" t="s">
        <v>237</v>
      </c>
      <c r="F104" s="61" t="s">
        <v>121</v>
      </c>
      <c r="G104" s="60" t="s">
        <v>237</v>
      </c>
      <c r="H104" s="60" t="s">
        <v>238</v>
      </c>
      <c r="I104" s="60" t="s">
        <v>239</v>
      </c>
      <c r="J104" s="60" t="s">
        <v>239</v>
      </c>
      <c r="K104" s="60" t="s">
        <v>240</v>
      </c>
      <c r="L104" s="60" t="s">
        <v>241</v>
      </c>
      <c r="M104" s="60" t="s">
        <v>242</v>
      </c>
      <c r="N104" s="60" t="s">
        <v>243</v>
      </c>
    </row>
    <row r="105" spans="1:14" ht="13" hidden="1" x14ac:dyDescent="0.3">
      <c r="A105" s="60" t="s">
        <v>94</v>
      </c>
      <c r="B105" s="60" t="s">
        <v>237</v>
      </c>
      <c r="C105" s="60" t="s">
        <v>238</v>
      </c>
      <c r="D105" s="60" t="s">
        <v>240</v>
      </c>
      <c r="E105" s="60" t="s">
        <v>242</v>
      </c>
      <c r="F105" s="61" t="s">
        <v>121</v>
      </c>
      <c r="G105" s="60" t="s">
        <v>242</v>
      </c>
      <c r="H105" s="60" t="s">
        <v>243</v>
      </c>
      <c r="I105" s="60" t="s">
        <v>244</v>
      </c>
      <c r="J105" s="60" t="s">
        <v>244</v>
      </c>
      <c r="K105" s="60" t="s">
        <v>245</v>
      </c>
      <c r="L105" s="60" t="s">
        <v>246</v>
      </c>
      <c r="M105" s="60" t="s">
        <v>247</v>
      </c>
      <c r="N105" s="60" t="s">
        <v>248</v>
      </c>
    </row>
    <row r="106" spans="1:14" ht="13" hidden="1" x14ac:dyDescent="0.3">
      <c r="A106" s="60" t="s">
        <v>95</v>
      </c>
      <c r="B106" s="60" t="s">
        <v>242</v>
      </c>
      <c r="C106" s="60" t="s">
        <v>243</v>
      </c>
      <c r="D106" s="60" t="s">
        <v>245</v>
      </c>
      <c r="E106" s="60" t="s">
        <v>247</v>
      </c>
      <c r="F106" s="61" t="s">
        <v>121</v>
      </c>
      <c r="G106" s="60" t="s">
        <v>247</v>
      </c>
      <c r="H106" s="60" t="s">
        <v>248</v>
      </c>
      <c r="I106" s="60" t="s">
        <v>249</v>
      </c>
      <c r="J106" s="60" t="s">
        <v>249</v>
      </c>
      <c r="K106" s="60" t="s">
        <v>250</v>
      </c>
      <c r="L106" s="60" t="s">
        <v>251</v>
      </c>
      <c r="M106" s="60" t="s">
        <v>252</v>
      </c>
      <c r="N106" s="60" t="s">
        <v>253</v>
      </c>
    </row>
    <row r="107" spans="1:14" ht="13" hidden="1" x14ac:dyDescent="0.3">
      <c r="A107" s="60" t="s">
        <v>96</v>
      </c>
      <c r="B107" s="60" t="s">
        <v>247</v>
      </c>
      <c r="C107" s="60" t="s">
        <v>248</v>
      </c>
      <c r="D107" s="60" t="s">
        <v>250</v>
      </c>
      <c r="E107" s="60" t="s">
        <v>252</v>
      </c>
      <c r="F107" s="61" t="s">
        <v>121</v>
      </c>
      <c r="G107" s="60" t="s">
        <v>252</v>
      </c>
      <c r="H107" s="60" t="s">
        <v>253</v>
      </c>
      <c r="I107" s="60" t="s">
        <v>254</v>
      </c>
      <c r="J107" s="60" t="s">
        <v>254</v>
      </c>
      <c r="K107" s="60" t="s">
        <v>255</v>
      </c>
      <c r="L107" s="60" t="s">
        <v>256</v>
      </c>
      <c r="M107" s="60" t="s">
        <v>257</v>
      </c>
      <c r="N107" s="60" t="s">
        <v>258</v>
      </c>
    </row>
    <row r="108" spans="1:14" ht="13" hidden="1" x14ac:dyDescent="0.3">
      <c r="A108" s="60" t="s">
        <v>97</v>
      </c>
      <c r="B108" s="60" t="s">
        <v>252</v>
      </c>
      <c r="C108" s="60" t="s">
        <v>253</v>
      </c>
      <c r="D108" s="60" t="s">
        <v>255</v>
      </c>
      <c r="E108" s="60" t="s">
        <v>257</v>
      </c>
      <c r="F108" s="61" t="s">
        <v>121</v>
      </c>
      <c r="G108" s="60" t="s">
        <v>257</v>
      </c>
      <c r="H108" s="60" t="s">
        <v>258</v>
      </c>
      <c r="I108" s="60" t="s">
        <v>259</v>
      </c>
      <c r="J108" s="60" t="s">
        <v>259</v>
      </c>
      <c r="K108" s="60" t="s">
        <v>260</v>
      </c>
      <c r="L108" s="60" t="s">
        <v>261</v>
      </c>
      <c r="M108" s="60" t="s">
        <v>262</v>
      </c>
      <c r="N108" s="60" t="s">
        <v>263</v>
      </c>
    </row>
    <row r="109" spans="1:14" ht="13" hidden="1" x14ac:dyDescent="0.3">
      <c r="A109" s="60" t="s">
        <v>98</v>
      </c>
      <c r="B109" s="60" t="s">
        <v>257</v>
      </c>
      <c r="C109" s="60" t="s">
        <v>258</v>
      </c>
      <c r="D109" s="60" t="s">
        <v>260</v>
      </c>
      <c r="E109" s="60" t="s">
        <v>264</v>
      </c>
      <c r="F109" s="61" t="s">
        <v>121</v>
      </c>
      <c r="G109" s="60" t="s">
        <v>264</v>
      </c>
      <c r="H109" s="60" t="s">
        <v>265</v>
      </c>
      <c r="I109" s="60" t="s">
        <v>266</v>
      </c>
      <c r="J109" s="60" t="s">
        <v>266</v>
      </c>
      <c r="K109" s="60" t="s">
        <v>267</v>
      </c>
      <c r="L109" s="60" t="s">
        <v>268</v>
      </c>
      <c r="M109" s="60" t="s">
        <v>269</v>
      </c>
      <c r="N109" s="60" t="s">
        <v>270</v>
      </c>
    </row>
    <row r="110" spans="1:14" ht="13" hidden="1" x14ac:dyDescent="0.3">
      <c r="A110" s="60" t="s">
        <v>99</v>
      </c>
      <c r="B110" s="60" t="s">
        <v>264</v>
      </c>
      <c r="C110" s="60" t="s">
        <v>265</v>
      </c>
      <c r="D110" s="60" t="s">
        <v>267</v>
      </c>
      <c r="E110" s="60" t="s">
        <v>269</v>
      </c>
      <c r="F110" s="61" t="s">
        <v>121</v>
      </c>
      <c r="G110" s="60" t="s">
        <v>269</v>
      </c>
      <c r="H110" s="60" t="s">
        <v>270</v>
      </c>
      <c r="I110" s="60" t="s">
        <v>271</v>
      </c>
      <c r="J110" s="60" t="s">
        <v>271</v>
      </c>
      <c r="K110" s="60" t="s">
        <v>272</v>
      </c>
      <c r="L110" s="60" t="s">
        <v>273</v>
      </c>
      <c r="M110" s="60" t="s">
        <v>274</v>
      </c>
      <c r="N110" s="60" t="s">
        <v>275</v>
      </c>
    </row>
    <row r="111" spans="1:14" ht="13" hidden="1" x14ac:dyDescent="0.3">
      <c r="A111" s="60" t="s">
        <v>100</v>
      </c>
      <c r="B111" s="60" t="s">
        <v>269</v>
      </c>
      <c r="C111" s="60" t="s">
        <v>270</v>
      </c>
      <c r="D111" s="60" t="s">
        <v>272</v>
      </c>
      <c r="E111" s="60" t="s">
        <v>276</v>
      </c>
      <c r="F111" s="61" t="s">
        <v>121</v>
      </c>
      <c r="G111" s="60" t="s">
        <v>276</v>
      </c>
      <c r="H111" s="60" t="s">
        <v>277</v>
      </c>
      <c r="I111" s="60" t="s">
        <v>278</v>
      </c>
      <c r="J111" s="60" t="s">
        <v>278</v>
      </c>
      <c r="K111" s="60" t="s">
        <v>279</v>
      </c>
      <c r="L111" s="60" t="s">
        <v>280</v>
      </c>
      <c r="M111" s="60" t="s">
        <v>281</v>
      </c>
      <c r="N111" s="60" t="s">
        <v>282</v>
      </c>
    </row>
    <row r="112" spans="1:14" ht="13" hidden="1" x14ac:dyDescent="0.3">
      <c r="A112" s="60" t="s">
        <v>101</v>
      </c>
      <c r="B112" s="60" t="s">
        <v>276</v>
      </c>
      <c r="C112" s="60" t="s">
        <v>277</v>
      </c>
      <c r="D112" s="60" t="s">
        <v>279</v>
      </c>
      <c r="E112" s="60" t="s">
        <v>281</v>
      </c>
      <c r="F112" s="61" t="s">
        <v>121</v>
      </c>
      <c r="G112" s="60" t="s">
        <v>281</v>
      </c>
      <c r="H112" s="60" t="s">
        <v>282</v>
      </c>
      <c r="I112" s="60" t="s">
        <v>283</v>
      </c>
      <c r="J112" s="60" t="s">
        <v>283</v>
      </c>
      <c r="K112" s="60" t="s">
        <v>284</v>
      </c>
      <c r="L112" s="60" t="s">
        <v>285</v>
      </c>
      <c r="M112" s="60" t="s">
        <v>286</v>
      </c>
      <c r="N112" s="60" t="s">
        <v>287</v>
      </c>
    </row>
    <row r="113" spans="1:15" ht="13" hidden="1" x14ac:dyDescent="0.25">
      <c r="A113" s="62" t="s">
        <v>102</v>
      </c>
      <c r="B113" s="62" t="s">
        <v>281</v>
      </c>
      <c r="C113" s="62" t="s">
        <v>282</v>
      </c>
      <c r="D113" s="62" t="s">
        <v>284</v>
      </c>
      <c r="E113" s="62" t="s">
        <v>286</v>
      </c>
      <c r="F113" s="62" t="s">
        <v>121</v>
      </c>
      <c r="G113" s="62" t="s">
        <v>286</v>
      </c>
      <c r="H113" s="62" t="s">
        <v>287</v>
      </c>
      <c r="I113" s="62" t="s">
        <v>288</v>
      </c>
      <c r="J113" s="62" t="s">
        <v>288</v>
      </c>
      <c r="K113" s="62" t="s">
        <v>289</v>
      </c>
      <c r="L113" s="62" t="s">
        <v>290</v>
      </c>
      <c r="M113" s="62" t="s">
        <v>291</v>
      </c>
      <c r="N113" s="62" t="s">
        <v>364</v>
      </c>
    </row>
    <row r="114" spans="1:15" ht="13" hidden="1" x14ac:dyDescent="0.3">
      <c r="A114" s="66" t="s">
        <v>103</v>
      </c>
      <c r="B114" s="67" t="s">
        <v>286</v>
      </c>
      <c r="C114" s="67" t="s">
        <v>287</v>
      </c>
      <c r="D114" s="67">
        <v>45650</v>
      </c>
      <c r="E114" s="66" t="s">
        <v>356</v>
      </c>
      <c r="F114" s="51" t="s">
        <v>121</v>
      </c>
      <c r="G114" s="66" t="s">
        <v>356</v>
      </c>
      <c r="H114" s="66" t="s">
        <v>357</v>
      </c>
      <c r="I114" s="66" t="s">
        <v>358</v>
      </c>
      <c r="J114" s="66" t="s">
        <v>358</v>
      </c>
      <c r="K114" s="66" t="s">
        <v>362</v>
      </c>
      <c r="L114" s="66" t="s">
        <v>359</v>
      </c>
      <c r="M114" s="66" t="s">
        <v>360</v>
      </c>
      <c r="N114" s="66" t="s">
        <v>361</v>
      </c>
    </row>
    <row r="115" spans="1:15" ht="13" hidden="1" x14ac:dyDescent="0.3">
      <c r="A115" s="53" t="s">
        <v>104</v>
      </c>
      <c r="B115" s="63" t="s">
        <v>356</v>
      </c>
      <c r="C115" s="66" t="s">
        <v>357</v>
      </c>
      <c r="D115" s="66" t="s">
        <v>362</v>
      </c>
      <c r="E115" s="53" t="s">
        <v>292</v>
      </c>
      <c r="F115" s="64" t="s">
        <v>121</v>
      </c>
      <c r="G115" s="53" t="s">
        <v>292</v>
      </c>
      <c r="H115" s="53" t="s">
        <v>293</v>
      </c>
      <c r="I115" s="53" t="s">
        <v>294</v>
      </c>
      <c r="J115" s="53" t="s">
        <v>294</v>
      </c>
      <c r="K115" s="53" t="s">
        <v>295</v>
      </c>
      <c r="L115" s="53" t="s">
        <v>296</v>
      </c>
      <c r="M115" s="53" t="s">
        <v>297</v>
      </c>
      <c r="N115" s="53" t="s">
        <v>298</v>
      </c>
    </row>
    <row r="116" spans="1:15" ht="13" hidden="1" x14ac:dyDescent="0.3">
      <c r="A116" s="53" t="s">
        <v>105</v>
      </c>
      <c r="B116" s="63" t="s">
        <v>292</v>
      </c>
      <c r="C116" s="63" t="s">
        <v>293</v>
      </c>
      <c r="D116" s="63" t="s">
        <v>295</v>
      </c>
      <c r="E116" s="53" t="s">
        <v>297</v>
      </c>
      <c r="F116" s="64" t="s">
        <v>121</v>
      </c>
      <c r="G116" s="53" t="s">
        <v>297</v>
      </c>
      <c r="H116" s="53" t="s">
        <v>298</v>
      </c>
      <c r="I116" s="53" t="s">
        <v>299</v>
      </c>
      <c r="J116" s="53" t="s">
        <v>299</v>
      </c>
      <c r="K116" s="53" t="s">
        <v>300</v>
      </c>
      <c r="L116" s="53" t="s">
        <v>301</v>
      </c>
      <c r="M116" s="53" t="s">
        <v>302</v>
      </c>
      <c r="N116" s="53" t="s">
        <v>303</v>
      </c>
    </row>
    <row r="117" spans="1:15" ht="13" hidden="1" x14ac:dyDescent="0.3">
      <c r="A117" s="53" t="s">
        <v>304</v>
      </c>
      <c r="B117" s="63" t="str">
        <f t="shared" ref="B117:C124" si="8">G116</f>
        <v>12-Mar-25 Wed</v>
      </c>
      <c r="C117" s="63" t="str">
        <f t="shared" si="8"/>
        <v>13-Mar-25 Thu</v>
      </c>
      <c r="D117" s="63" t="str">
        <f t="shared" ref="D117:D124" si="9">K116</f>
        <v>26-Mar-25 Wed</v>
      </c>
      <c r="E117" s="53" t="s">
        <v>305</v>
      </c>
      <c r="F117" s="64" t="s">
        <v>121</v>
      </c>
      <c r="G117" s="53" t="s">
        <v>305</v>
      </c>
      <c r="H117" s="53" t="s">
        <v>306</v>
      </c>
      <c r="I117" s="53" t="s">
        <v>307</v>
      </c>
      <c r="J117" s="53" t="s">
        <v>307</v>
      </c>
      <c r="K117" s="53" t="s">
        <v>308</v>
      </c>
      <c r="L117" s="53" t="s">
        <v>363</v>
      </c>
      <c r="M117" s="53" t="s">
        <v>309</v>
      </c>
      <c r="N117" s="53" t="s">
        <v>310</v>
      </c>
    </row>
    <row r="118" spans="1:15" ht="13" hidden="1" x14ac:dyDescent="0.3">
      <c r="A118" s="53" t="s">
        <v>106</v>
      </c>
      <c r="B118" s="63" t="str">
        <f>G117</f>
        <v>16-Apr-25 Wed</v>
      </c>
      <c r="C118" s="63" t="str">
        <f>H117</f>
        <v>17-Apr-25 Thu</v>
      </c>
      <c r="D118" s="63" t="str">
        <f>K117</f>
        <v>30-Apr-25 Wed</v>
      </c>
      <c r="E118" s="53" t="s">
        <v>309</v>
      </c>
      <c r="F118" s="64" t="s">
        <v>121</v>
      </c>
      <c r="G118" s="53" t="s">
        <v>309</v>
      </c>
      <c r="H118" s="53" t="s">
        <v>310</v>
      </c>
      <c r="I118" s="53" t="s">
        <v>311</v>
      </c>
      <c r="J118" s="53" t="s">
        <v>311</v>
      </c>
      <c r="K118" s="53" t="s">
        <v>312</v>
      </c>
      <c r="L118" s="53" t="s">
        <v>313</v>
      </c>
      <c r="M118" s="53" t="s">
        <v>314</v>
      </c>
      <c r="N118" s="53" t="s">
        <v>315</v>
      </c>
    </row>
    <row r="119" spans="1:15" ht="13" hidden="1" x14ac:dyDescent="0.3">
      <c r="A119" s="53" t="s">
        <v>316</v>
      </c>
      <c r="B119" s="63" t="str">
        <f t="shared" si="8"/>
        <v>14-May-25 Wed</v>
      </c>
      <c r="C119" s="63" t="str">
        <f t="shared" si="8"/>
        <v>15-May-25 Thu</v>
      </c>
      <c r="D119" s="63" t="str">
        <f t="shared" si="9"/>
        <v>28-May-25 Wed</v>
      </c>
      <c r="E119" s="53" t="s">
        <v>314</v>
      </c>
      <c r="F119" s="64" t="s">
        <v>121</v>
      </c>
      <c r="G119" s="53" t="s">
        <v>314</v>
      </c>
      <c r="H119" s="53" t="s">
        <v>315</v>
      </c>
      <c r="I119" s="53" t="s">
        <v>317</v>
      </c>
      <c r="J119" s="53" t="s">
        <v>317</v>
      </c>
      <c r="K119" s="53" t="s">
        <v>318</v>
      </c>
      <c r="L119" s="53" t="s">
        <v>319</v>
      </c>
      <c r="M119" s="53" t="s">
        <v>320</v>
      </c>
      <c r="N119" s="53" t="s">
        <v>321</v>
      </c>
    </row>
    <row r="120" spans="1:15" ht="13" hidden="1" x14ac:dyDescent="0.3">
      <c r="A120" s="53" t="s">
        <v>322</v>
      </c>
      <c r="B120" s="63" t="str">
        <f t="shared" si="8"/>
        <v>11-Jun-25 Wed</v>
      </c>
      <c r="C120" s="63" t="str">
        <f t="shared" si="8"/>
        <v>12-Jun-25 Thu</v>
      </c>
      <c r="D120" s="63" t="str">
        <f t="shared" si="9"/>
        <v>25-Jun-25 Wed</v>
      </c>
      <c r="E120" s="53" t="s">
        <v>323</v>
      </c>
      <c r="F120" s="64" t="s">
        <v>121</v>
      </c>
      <c r="G120" s="53" t="s">
        <v>323</v>
      </c>
      <c r="H120" s="53" t="s">
        <v>324</v>
      </c>
      <c r="I120" s="53" t="s">
        <v>325</v>
      </c>
      <c r="J120" s="53" t="s">
        <v>325</v>
      </c>
      <c r="K120" s="53" t="s">
        <v>326</v>
      </c>
      <c r="L120" s="53" t="s">
        <v>327</v>
      </c>
      <c r="M120" s="53" t="s">
        <v>328</v>
      </c>
      <c r="N120" s="53" t="s">
        <v>329</v>
      </c>
    </row>
    <row r="121" spans="1:15" ht="13" hidden="1" x14ac:dyDescent="0.3">
      <c r="A121" s="53" t="s">
        <v>330</v>
      </c>
      <c r="B121" s="63" t="str">
        <f t="shared" si="8"/>
        <v>16-Jul-25 Wed</v>
      </c>
      <c r="C121" s="63" t="str">
        <f t="shared" si="8"/>
        <v>17-Jul-25 Thu</v>
      </c>
      <c r="D121" s="63" t="str">
        <f t="shared" si="9"/>
        <v>30-Jul-25 Wed</v>
      </c>
      <c r="E121" s="53" t="s">
        <v>328</v>
      </c>
      <c r="F121" s="64" t="s">
        <v>121</v>
      </c>
      <c r="G121" s="53" t="s">
        <v>328</v>
      </c>
      <c r="H121" s="53" t="s">
        <v>329</v>
      </c>
      <c r="I121" s="53" t="s">
        <v>331</v>
      </c>
      <c r="J121" s="53" t="s">
        <v>331</v>
      </c>
      <c r="K121" s="53" t="s">
        <v>332</v>
      </c>
      <c r="L121" s="53" t="s">
        <v>333</v>
      </c>
      <c r="M121" s="53" t="s">
        <v>334</v>
      </c>
      <c r="N121" s="53" t="s">
        <v>335</v>
      </c>
    </row>
    <row r="122" spans="1:15" ht="13" x14ac:dyDescent="0.3">
      <c r="A122" s="53" t="s">
        <v>336</v>
      </c>
      <c r="B122" s="63" t="str">
        <f t="shared" si="8"/>
        <v>13-Aug-25 Wed</v>
      </c>
      <c r="C122" s="63" t="str">
        <f t="shared" si="8"/>
        <v>14-Aug-25 Thu</v>
      </c>
      <c r="D122" s="63" t="str">
        <f t="shared" si="9"/>
        <v>27-Aug-25 Wed</v>
      </c>
      <c r="E122" s="53" t="s">
        <v>334</v>
      </c>
      <c r="F122" s="64" t="s">
        <v>121</v>
      </c>
      <c r="G122" s="53" t="s">
        <v>334</v>
      </c>
      <c r="H122" s="53" t="s">
        <v>335</v>
      </c>
      <c r="I122" s="53" t="s">
        <v>337</v>
      </c>
      <c r="J122" s="53" t="s">
        <v>337</v>
      </c>
      <c r="K122" s="53" t="s">
        <v>338</v>
      </c>
      <c r="L122" s="53" t="s">
        <v>339</v>
      </c>
      <c r="M122" s="53" t="s">
        <v>340</v>
      </c>
      <c r="N122" s="53" t="s">
        <v>341</v>
      </c>
    </row>
    <row r="123" spans="1:15" ht="26" x14ac:dyDescent="0.3">
      <c r="A123" s="53" t="s">
        <v>342</v>
      </c>
      <c r="B123" s="63" t="str">
        <f t="shared" si="8"/>
        <v>10-Sep-25 Wed</v>
      </c>
      <c r="C123" s="63" t="str">
        <f t="shared" si="8"/>
        <v>11-Sep-25 Thu</v>
      </c>
      <c r="D123" s="63" t="str">
        <f t="shared" si="9"/>
        <v>24-Sep-25 Wed</v>
      </c>
      <c r="E123" s="53" t="s">
        <v>343</v>
      </c>
      <c r="F123" s="64" t="s">
        <v>121</v>
      </c>
      <c r="G123" s="53" t="s">
        <v>343</v>
      </c>
      <c r="H123" s="53" t="s">
        <v>344</v>
      </c>
      <c r="I123" s="53" t="s">
        <v>345</v>
      </c>
      <c r="J123" s="53" t="s">
        <v>345</v>
      </c>
      <c r="K123" s="53" t="s">
        <v>346</v>
      </c>
      <c r="L123" s="65" t="s">
        <v>347</v>
      </c>
      <c r="M123" s="53" t="s">
        <v>348</v>
      </c>
      <c r="N123" s="53" t="s">
        <v>349</v>
      </c>
    </row>
    <row r="124" spans="1:15" ht="13" x14ac:dyDescent="0.3">
      <c r="A124" s="53" t="s">
        <v>350</v>
      </c>
      <c r="B124" s="63" t="str">
        <f t="shared" si="8"/>
        <v>15-Oct-25 Wed</v>
      </c>
      <c r="C124" s="63" t="str">
        <f t="shared" si="8"/>
        <v>16-Oct-25 Thu</v>
      </c>
      <c r="D124" s="63" t="str">
        <f t="shared" si="9"/>
        <v>29-Oct-25 Wed</v>
      </c>
      <c r="E124" s="53" t="s">
        <v>348</v>
      </c>
      <c r="F124" s="64" t="s">
        <v>121</v>
      </c>
      <c r="G124" s="53" t="s">
        <v>348</v>
      </c>
      <c r="H124" s="53" t="s">
        <v>349</v>
      </c>
      <c r="I124" s="53" t="s">
        <v>351</v>
      </c>
      <c r="J124" s="53" t="s">
        <v>351</v>
      </c>
      <c r="K124" s="53" t="s">
        <v>352</v>
      </c>
      <c r="L124" s="53" t="s">
        <v>353</v>
      </c>
      <c r="M124" s="53" t="s">
        <v>354</v>
      </c>
      <c r="N124" s="53" t="s">
        <v>355</v>
      </c>
      <c r="O124" s="68"/>
    </row>
    <row r="125" spans="1:15" ht="13.5" x14ac:dyDescent="0.3">
      <c r="A125" s="69" t="s">
        <v>367</v>
      </c>
      <c r="B125" s="70">
        <f>C125-1</f>
        <v>45973</v>
      </c>
      <c r="C125" s="70">
        <v>45974</v>
      </c>
      <c r="D125" s="70">
        <v>45987</v>
      </c>
      <c r="E125" s="70">
        <v>46008</v>
      </c>
      <c r="F125" s="70" t="s">
        <v>121</v>
      </c>
      <c r="G125" s="70">
        <v>46008</v>
      </c>
      <c r="H125" s="70">
        <v>46009</v>
      </c>
      <c r="I125" s="70">
        <v>46021</v>
      </c>
      <c r="J125" s="70">
        <v>46021</v>
      </c>
      <c r="K125" s="70">
        <v>46022</v>
      </c>
      <c r="L125" s="70">
        <v>46035</v>
      </c>
      <c r="M125" s="70">
        <v>46036</v>
      </c>
      <c r="N125" s="70">
        <v>46037</v>
      </c>
      <c r="O125" s="71"/>
    </row>
    <row r="126" spans="1:15" ht="13.5" x14ac:dyDescent="0.3">
      <c r="A126" s="69" t="s">
        <v>368</v>
      </c>
      <c r="B126" s="70">
        <f t="shared" ref="B126:B136" si="10">C126-1</f>
        <v>46008</v>
      </c>
      <c r="C126" s="70">
        <f>H125</f>
        <v>46009</v>
      </c>
      <c r="D126" s="70">
        <f>K125</f>
        <v>46022</v>
      </c>
      <c r="E126" s="70">
        <v>46036</v>
      </c>
      <c r="F126" s="69" t="s">
        <v>121</v>
      </c>
      <c r="G126" s="70">
        <v>46036</v>
      </c>
      <c r="H126" s="70">
        <v>46037</v>
      </c>
      <c r="I126" s="70">
        <v>46049</v>
      </c>
      <c r="J126" s="70">
        <v>46049</v>
      </c>
      <c r="K126" s="70">
        <v>46050</v>
      </c>
      <c r="L126" s="70">
        <v>46063</v>
      </c>
      <c r="M126" s="70">
        <v>46064</v>
      </c>
      <c r="N126" s="70">
        <v>46065</v>
      </c>
      <c r="O126" s="71"/>
    </row>
    <row r="127" spans="1:15" ht="13.5" x14ac:dyDescent="0.3">
      <c r="A127" s="69" t="s">
        <v>369</v>
      </c>
      <c r="B127" s="70">
        <f t="shared" si="10"/>
        <v>46036</v>
      </c>
      <c r="C127" s="70">
        <f t="shared" ref="C127:C136" si="11">H126</f>
        <v>46037</v>
      </c>
      <c r="D127" s="70">
        <f t="shared" ref="D127:D136" si="12">K126</f>
        <v>46050</v>
      </c>
      <c r="E127" s="70">
        <v>46064</v>
      </c>
      <c r="F127" s="69" t="s">
        <v>121</v>
      </c>
      <c r="G127" s="70">
        <v>46064</v>
      </c>
      <c r="H127" s="70">
        <v>46065</v>
      </c>
      <c r="I127" s="70">
        <v>46077</v>
      </c>
      <c r="J127" s="70">
        <v>46077</v>
      </c>
      <c r="K127" s="70">
        <v>46078</v>
      </c>
      <c r="L127" s="70">
        <v>46091</v>
      </c>
      <c r="M127" s="70">
        <v>46092</v>
      </c>
      <c r="N127" s="70">
        <v>46093</v>
      </c>
      <c r="O127" s="71"/>
    </row>
    <row r="128" spans="1:15" ht="13.5" x14ac:dyDescent="0.3">
      <c r="A128" s="69" t="s">
        <v>366</v>
      </c>
      <c r="B128" s="70">
        <f t="shared" si="10"/>
        <v>46064</v>
      </c>
      <c r="C128" s="70">
        <f t="shared" si="11"/>
        <v>46065</v>
      </c>
      <c r="D128" s="70">
        <f t="shared" si="12"/>
        <v>46078</v>
      </c>
      <c r="E128" s="70">
        <v>46092</v>
      </c>
      <c r="F128" s="69" t="s">
        <v>121</v>
      </c>
      <c r="G128" s="70">
        <v>46092</v>
      </c>
      <c r="H128" s="70">
        <v>46093</v>
      </c>
      <c r="I128" s="70">
        <v>46105</v>
      </c>
      <c r="J128" s="70">
        <v>46105</v>
      </c>
      <c r="K128" s="70">
        <v>46106</v>
      </c>
      <c r="L128" s="70">
        <v>46119</v>
      </c>
      <c r="M128" s="70">
        <v>46120</v>
      </c>
      <c r="N128" s="70">
        <v>46121</v>
      </c>
      <c r="O128" s="71"/>
    </row>
    <row r="129" spans="1:15" ht="13" x14ac:dyDescent="0.3">
      <c r="A129" s="69" t="s">
        <v>370</v>
      </c>
      <c r="B129" s="70">
        <f t="shared" si="10"/>
        <v>46092</v>
      </c>
      <c r="C129" s="70">
        <f t="shared" si="11"/>
        <v>46093</v>
      </c>
      <c r="D129" s="70">
        <f t="shared" si="12"/>
        <v>46106</v>
      </c>
      <c r="E129" s="70">
        <v>46127</v>
      </c>
      <c r="F129" s="69" t="s">
        <v>121</v>
      </c>
      <c r="G129" s="70">
        <v>46127</v>
      </c>
      <c r="H129" s="70">
        <v>46128</v>
      </c>
      <c r="I129" s="70">
        <v>46140</v>
      </c>
      <c r="J129" s="70">
        <v>46140</v>
      </c>
      <c r="K129" s="70">
        <v>46141</v>
      </c>
      <c r="L129" s="70">
        <v>46154</v>
      </c>
      <c r="M129" s="70">
        <v>46155</v>
      </c>
      <c r="N129" s="70">
        <v>46156</v>
      </c>
    </row>
    <row r="130" spans="1:15" ht="13.5" x14ac:dyDescent="0.3">
      <c r="A130" s="69" t="s">
        <v>371</v>
      </c>
      <c r="B130" s="70">
        <f t="shared" si="10"/>
        <v>46127</v>
      </c>
      <c r="C130" s="70">
        <f t="shared" si="11"/>
        <v>46128</v>
      </c>
      <c r="D130" s="70">
        <f t="shared" si="12"/>
        <v>46141</v>
      </c>
      <c r="E130" s="70">
        <v>46155</v>
      </c>
      <c r="F130" s="69" t="s">
        <v>121</v>
      </c>
      <c r="G130" s="70">
        <v>46155</v>
      </c>
      <c r="H130" s="70">
        <v>46156</v>
      </c>
      <c r="I130" s="70">
        <v>46168</v>
      </c>
      <c r="J130" s="70">
        <v>46168</v>
      </c>
      <c r="K130" s="70">
        <v>46169</v>
      </c>
      <c r="L130" s="70">
        <v>46182</v>
      </c>
      <c r="M130" s="70">
        <v>46183</v>
      </c>
      <c r="N130" s="70">
        <v>46184</v>
      </c>
      <c r="O130" s="71"/>
    </row>
    <row r="131" spans="1:15" ht="13.5" x14ac:dyDescent="0.3">
      <c r="A131" s="69" t="s">
        <v>365</v>
      </c>
      <c r="B131" s="70">
        <f t="shared" si="10"/>
        <v>46155</v>
      </c>
      <c r="C131" s="70">
        <f t="shared" si="11"/>
        <v>46156</v>
      </c>
      <c r="D131" s="70">
        <f t="shared" si="12"/>
        <v>46169</v>
      </c>
      <c r="E131" s="70">
        <v>46183</v>
      </c>
      <c r="F131" s="69" t="s">
        <v>121</v>
      </c>
      <c r="G131" s="70">
        <v>46183</v>
      </c>
      <c r="H131" s="70">
        <v>46184</v>
      </c>
      <c r="I131" s="70">
        <v>46196</v>
      </c>
      <c r="J131" s="70">
        <v>46196</v>
      </c>
      <c r="K131" s="70">
        <v>46197</v>
      </c>
      <c r="L131" s="70">
        <v>46210</v>
      </c>
      <c r="M131" s="70">
        <v>46211</v>
      </c>
      <c r="N131" s="70">
        <v>46212</v>
      </c>
      <c r="O131" s="71"/>
    </row>
    <row r="132" spans="1:15" ht="13" x14ac:dyDescent="0.3">
      <c r="A132" s="69" t="s">
        <v>372</v>
      </c>
      <c r="B132" s="70">
        <f t="shared" si="10"/>
        <v>46183</v>
      </c>
      <c r="C132" s="70">
        <f t="shared" si="11"/>
        <v>46184</v>
      </c>
      <c r="D132" s="70">
        <f t="shared" si="12"/>
        <v>46197</v>
      </c>
      <c r="E132" s="70">
        <v>46218</v>
      </c>
      <c r="F132" s="69" t="s">
        <v>121</v>
      </c>
      <c r="G132" s="70">
        <v>46218</v>
      </c>
      <c r="H132" s="70">
        <v>46219</v>
      </c>
      <c r="I132" s="70">
        <v>46231</v>
      </c>
      <c r="J132" s="70">
        <v>46231</v>
      </c>
      <c r="K132" s="70">
        <v>46232</v>
      </c>
      <c r="L132" s="70">
        <v>46245</v>
      </c>
      <c r="M132" s="70">
        <v>46246</v>
      </c>
      <c r="N132" s="70">
        <v>46247</v>
      </c>
    </row>
    <row r="133" spans="1:15" ht="13.5" x14ac:dyDescent="0.3">
      <c r="A133" s="69" t="s">
        <v>373</v>
      </c>
      <c r="B133" s="70">
        <f t="shared" si="10"/>
        <v>46218</v>
      </c>
      <c r="C133" s="70">
        <f t="shared" si="11"/>
        <v>46219</v>
      </c>
      <c r="D133" s="70">
        <f t="shared" si="12"/>
        <v>46232</v>
      </c>
      <c r="E133" s="70">
        <v>46246</v>
      </c>
      <c r="F133" s="69" t="s">
        <v>121</v>
      </c>
      <c r="G133" s="70">
        <v>46246</v>
      </c>
      <c r="H133" s="70">
        <v>46247</v>
      </c>
      <c r="I133" s="70">
        <v>46259</v>
      </c>
      <c r="J133" s="70">
        <v>46259</v>
      </c>
      <c r="K133" s="70">
        <v>46260</v>
      </c>
      <c r="L133" s="70">
        <v>46273</v>
      </c>
      <c r="M133" s="70">
        <v>46274</v>
      </c>
      <c r="N133" s="70">
        <v>46275</v>
      </c>
      <c r="O133" s="71"/>
    </row>
    <row r="134" spans="1:15" ht="13" x14ac:dyDescent="0.3">
      <c r="A134" s="69" t="s">
        <v>374</v>
      </c>
      <c r="B134" s="70">
        <f t="shared" si="10"/>
        <v>46246</v>
      </c>
      <c r="C134" s="70">
        <f t="shared" si="11"/>
        <v>46247</v>
      </c>
      <c r="D134" s="70">
        <f t="shared" si="12"/>
        <v>46260</v>
      </c>
      <c r="E134" s="70">
        <v>46274</v>
      </c>
      <c r="F134" s="69" t="s">
        <v>121</v>
      </c>
      <c r="G134" s="70">
        <v>46274</v>
      </c>
      <c r="H134" s="70">
        <v>46275</v>
      </c>
      <c r="I134" s="70">
        <v>46287</v>
      </c>
      <c r="J134" s="70">
        <v>46287</v>
      </c>
      <c r="K134" s="70">
        <v>46288</v>
      </c>
      <c r="L134" s="70">
        <v>46301</v>
      </c>
      <c r="M134" s="70">
        <v>46302</v>
      </c>
      <c r="N134" s="70">
        <v>46303</v>
      </c>
    </row>
    <row r="135" spans="1:15" ht="13.5" x14ac:dyDescent="0.3">
      <c r="A135" s="69" t="s">
        <v>375</v>
      </c>
      <c r="B135" s="70">
        <f t="shared" si="10"/>
        <v>46274</v>
      </c>
      <c r="C135" s="70">
        <f t="shared" si="11"/>
        <v>46275</v>
      </c>
      <c r="D135" s="70">
        <f t="shared" si="12"/>
        <v>46288</v>
      </c>
      <c r="E135" s="70">
        <v>46309</v>
      </c>
      <c r="F135" s="69" t="s">
        <v>121</v>
      </c>
      <c r="G135" s="70">
        <v>46309</v>
      </c>
      <c r="H135" s="70">
        <v>46310</v>
      </c>
      <c r="I135" s="70">
        <v>46322</v>
      </c>
      <c r="J135" s="70">
        <v>46322</v>
      </c>
      <c r="K135" s="70">
        <v>46323</v>
      </c>
      <c r="L135" s="70">
        <v>46336</v>
      </c>
      <c r="M135" s="70">
        <v>46337</v>
      </c>
      <c r="N135" s="70">
        <v>46338</v>
      </c>
      <c r="O135" s="71"/>
    </row>
    <row r="136" spans="1:15" ht="13.5" x14ac:dyDescent="0.3">
      <c r="A136" s="69" t="s">
        <v>376</v>
      </c>
      <c r="B136" s="70">
        <f t="shared" si="10"/>
        <v>46309</v>
      </c>
      <c r="C136" s="70">
        <f t="shared" si="11"/>
        <v>46310</v>
      </c>
      <c r="D136" s="70">
        <f t="shared" si="12"/>
        <v>46323</v>
      </c>
      <c r="E136" s="70">
        <v>46337</v>
      </c>
      <c r="F136" s="69" t="s">
        <v>121</v>
      </c>
      <c r="G136" s="70">
        <v>46337</v>
      </c>
      <c r="H136" s="70">
        <v>46338</v>
      </c>
      <c r="I136" s="70">
        <v>46350</v>
      </c>
      <c r="J136" s="70">
        <v>46350</v>
      </c>
      <c r="K136" s="70">
        <v>46351</v>
      </c>
      <c r="L136" s="70">
        <v>46364</v>
      </c>
      <c r="M136" s="70">
        <v>46365</v>
      </c>
      <c r="N136" s="70">
        <v>46366</v>
      </c>
      <c r="O136" s="71"/>
    </row>
    <row r="137" spans="1:15" ht="13.5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1"/>
    </row>
    <row r="138" spans="1:15" ht="13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</row>
    <row r="139" spans="1:15" ht="13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</row>
    <row r="140" spans="1:15" ht="13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</row>
    <row r="141" spans="1:15" ht="13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</row>
    <row r="142" spans="1:15" ht="13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</row>
    <row r="143" spans="1:15" ht="13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</row>
    <row r="144" spans="1:15" ht="13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</row>
    <row r="145" spans="1:14" ht="13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</row>
    <row r="146" spans="1:14" ht="13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</row>
    <row r="147" spans="1:14" ht="13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</row>
    <row r="148" spans="1:14" ht="13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</row>
    <row r="149" spans="1:14" ht="13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</row>
    <row r="150" spans="1:14" ht="13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</row>
    <row r="151" spans="1:14" ht="13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</row>
    <row r="152" spans="1:14" ht="13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</row>
    <row r="153" spans="1:14" ht="13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</row>
    <row r="154" spans="1:14" ht="13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</row>
    <row r="155" spans="1:14" ht="13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</row>
    <row r="156" spans="1:14" ht="13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</row>
    <row r="157" spans="1:14" ht="13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</row>
    <row r="158" spans="1:14" ht="13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</row>
    <row r="159" spans="1:14" ht="13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</row>
    <row r="160" spans="1:14" ht="13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</row>
    <row r="161" spans="1:14" ht="13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</row>
    <row r="162" spans="1:14" ht="13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</row>
    <row r="163" spans="1:14" ht="13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</row>
    <row r="164" spans="1:14" ht="13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</row>
    <row r="165" spans="1:14" ht="13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</row>
    <row r="166" spans="1:14" ht="13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</row>
    <row r="167" spans="1:14" ht="13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</row>
    <row r="168" spans="1:14" ht="13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</row>
    <row r="169" spans="1:14" ht="13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</row>
    <row r="170" spans="1:14" ht="13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</row>
    <row r="171" spans="1:14" ht="13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</row>
    <row r="172" spans="1:14" ht="13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</row>
    <row r="173" spans="1:14" ht="13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</row>
    <row r="174" spans="1:14" ht="13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</row>
    <row r="175" spans="1:14" ht="13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</row>
    <row r="176" spans="1:14" ht="13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</row>
    <row r="177" spans="1:14" ht="13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</row>
    <row r="178" spans="1:14" ht="13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</row>
    <row r="179" spans="1:14" ht="13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</row>
    <row r="180" spans="1:14" ht="13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</row>
    <row r="181" spans="1:14" ht="13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</row>
    <row r="182" spans="1:14" ht="13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</row>
    <row r="183" spans="1:14" ht="13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</row>
    <row r="184" spans="1:14" ht="13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</row>
    <row r="185" spans="1:14" ht="13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</row>
    <row r="186" spans="1:14" ht="13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</row>
    <row r="187" spans="1:14" ht="13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</row>
    <row r="188" spans="1:14" ht="13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</row>
    <row r="189" spans="1:14" ht="13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</row>
    <row r="190" spans="1:14" ht="13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DC4BF28E49D54A8DE11999C25BB3BB" ma:contentTypeVersion="13" ma:contentTypeDescription="Create a new document." ma:contentTypeScope="" ma:versionID="08045122fe4e067695b52b56b782252e">
  <xsd:schema xmlns:xsd="http://www.w3.org/2001/XMLSchema" xmlns:xs="http://www.w3.org/2001/XMLSchema" xmlns:p="http://schemas.microsoft.com/office/2006/metadata/properties" xmlns:ns1="http://schemas.microsoft.com/sharepoint/v3" xmlns:ns2="91074958-71a0-494a-bd61-96ee413a9f99" targetNamespace="http://schemas.microsoft.com/office/2006/metadata/properties" ma:root="true" ma:fieldsID="78c18c4de0bbd1f61e6d63a0225fc341" ns1:_="" ns2:_="">
    <xsd:import namespace="http://schemas.microsoft.com/sharepoint/v3"/>
    <xsd:import namespace="91074958-71a0-494a-bd61-96ee413a9f99"/>
    <xsd:element name="properties">
      <xsd:complexType>
        <xsd:sequence>
          <xsd:element name="documentManagement">
            <xsd:complexType>
              <xsd:all>
                <xsd:element ref="ns2:Release" minOccurs="0"/>
                <xsd:element ref="ns2:Release_x0020_Date" minOccurs="0"/>
                <xsd:element ref="ns2:Archive" minOccurs="0"/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74958-71a0-494a-bd61-96ee413a9f99" elementFormDefault="qualified">
    <xsd:import namespace="http://schemas.microsoft.com/office/2006/documentManagement/types"/>
    <xsd:import namespace="http://schemas.microsoft.com/office/infopath/2007/PartnerControls"/>
    <xsd:element name="Release" ma:index="2" nillable="true" ma:displayName="Release" ma:format="Dropdown" ma:internalName="Release" ma:readOnly="false">
      <xsd:simpleType>
        <xsd:restriction base="dms:Choice">
          <xsd:enumeration value="Release Calendar"/>
          <xsd:enumeration value="Templates"/>
          <xsd:enumeration value="ND.02.03.52.00"/>
          <xsd:enumeration value="ND.02.03.52.01"/>
          <xsd:enumeration value="ND.02.03.52.02"/>
          <xsd:enumeration value="ND.02.03.52.03"/>
          <xsd:enumeration value="ND.02.03.53.00"/>
          <xsd:enumeration value="ND.02.03.53.01"/>
          <xsd:enumeration value="ND.02.03.54.00"/>
          <xsd:enumeration value="ND.02.03.54.01"/>
          <xsd:enumeration value="ND.02.03.55.00"/>
          <xsd:enumeration value="ND.02.03.55.01"/>
          <xsd:enumeration value="ND.02.03.56.00"/>
          <xsd:enumeration value="ND.02.03.56.01"/>
          <xsd:enumeration value="ND.02.03.57.00"/>
          <xsd:enumeration value="ND.02.03.57.01"/>
          <xsd:enumeration value="ND.02.03.58.00"/>
          <xsd:enumeration value="ND.02.03.58.01"/>
          <xsd:enumeration value="ND.02.03.59.00"/>
          <xsd:enumeration value="ND.02.03.59.01"/>
          <xsd:enumeration value="ND.02.03.60.00"/>
          <xsd:enumeration value="ND.02.03.60.01"/>
          <xsd:enumeration value="ND.02.03.61.00"/>
          <xsd:enumeration value="ND.02.03.62.00"/>
          <xsd:enumeration value="ND.02.03.63.00"/>
          <xsd:enumeration value="ND.02.03.64.00"/>
          <xsd:enumeration value="ND.02.03.65.00"/>
          <xsd:enumeration value="ND.02.03.66.00"/>
          <xsd:enumeration value="ND.02.03.66.01"/>
          <xsd:enumeration value="ND.02.03.67.00"/>
          <xsd:enumeration value="ND.02.03.68.00"/>
          <xsd:enumeration value="ND.02.03.69.00"/>
          <xsd:enumeration value="ND.02.03.70.00"/>
          <xsd:enumeration value="ND.02.03.71.00"/>
          <xsd:enumeration value="ND.02.03.72.00"/>
          <xsd:enumeration value="ND.02.03.73.00"/>
          <xsd:enumeration value="ND.02.03.74.00"/>
          <xsd:enumeration value="ND.02.03.75.00"/>
          <xsd:enumeration value="ND.02.03.76.00"/>
          <xsd:enumeration value="ND.02.03.77.00"/>
          <xsd:enumeration value="ND.02.03.78.00"/>
          <xsd:enumeration value="ND.02.03.79.00"/>
          <xsd:enumeration value="ND.02.03.80.00"/>
          <xsd:enumeration value="ND.02.03.81.00"/>
          <xsd:enumeration value="ND.02.03.82.00"/>
          <xsd:enumeration value="ND.02.03.83.00"/>
          <xsd:enumeration value="ND.02.03.84.00"/>
          <xsd:enumeration value="ND.02.03.85.00"/>
          <xsd:enumeration value="ND.02.03.86.00"/>
          <xsd:enumeration value="ND.02.03.87.00"/>
          <xsd:enumeration value="ND.02.03.88.00"/>
          <xsd:enumeration value="ND.02.03.89.00"/>
          <xsd:enumeration value="ND.02.03.90.00"/>
          <xsd:enumeration value="ND.02.03.91.00"/>
          <xsd:enumeration value="ND.02.03.92.00"/>
          <xsd:enumeration value="ND.02.03.93.00"/>
          <xsd:enumeration value="ND.02.03.94.00"/>
          <xsd:enumeration value="ND.02.03.95.00"/>
          <xsd:enumeration value="ND.02.03.96.00"/>
          <xsd:enumeration value="ND.02.03.97.00"/>
          <xsd:enumeration value="ND.02.03.98.00"/>
          <xsd:enumeration value="ND.02.03.99.00"/>
          <xsd:enumeration value="ND.02.04.00.00"/>
          <xsd:enumeration value="ND.02.04.00.01"/>
          <xsd:enumeration value="ND.02.04.01.00"/>
          <xsd:enumeration value="ND.02.04.02.00"/>
          <xsd:enumeration value="ND.02.04.03.00"/>
          <xsd:enumeration value="ND.02.04.04.00"/>
          <xsd:enumeration value="ND.02.04.05.00"/>
          <xsd:enumeration value="ND.02.04.06.00"/>
          <xsd:enumeration value="ND.02.04.07.00"/>
          <xsd:enumeration value="ND.02.04.08.00"/>
          <xsd:enumeration value="ND.02.04.09.00"/>
          <xsd:enumeration value="ND.02.04.10.00"/>
          <xsd:enumeration value="ND.02.04.11.00"/>
          <xsd:enumeration value="ND.02.04.12.00"/>
          <xsd:enumeration value="ND.02.05.01.00"/>
          <xsd:enumeration value="ND.02.05.02.00"/>
          <xsd:enumeration value="ND.02.05.03.00"/>
          <xsd:enumeration value="ND.02.05.04.00"/>
          <xsd:enumeration value="ND.02.05.05.00"/>
          <xsd:enumeration value="ND.02.05.06.00"/>
          <xsd:enumeration value="ND.02.05.07.00"/>
          <xsd:enumeration value="ND.02.05.08.00"/>
          <xsd:enumeration value="ND.02.05.09.00"/>
          <xsd:enumeration value="ND.02.05.10.00"/>
          <xsd:enumeration value="ND.02.05.11.00"/>
          <xsd:enumeration value="ND.02.05.11.01"/>
          <xsd:enumeration value="ND.02.05.12.00"/>
          <xsd:enumeration value="ND.02.06.01.00"/>
          <xsd:enumeration value="ND.02.06.02.00"/>
          <xsd:enumeration value="ND.02.06.03.00"/>
          <xsd:enumeration value="ND.02.06.04.00"/>
          <xsd:enumeration value="ND.02.06.05.00"/>
          <xsd:enumeration value="ND.02.06.06.00"/>
          <xsd:enumeration value="ND.02.06.07.00"/>
          <xsd:enumeration value="ND.02.06.08.00"/>
          <xsd:enumeration value="ND.02.06.09.00"/>
          <xsd:enumeration value="ND.02.06.10.00"/>
          <xsd:enumeration value="ND.02.06.11.00"/>
          <xsd:enumeration value="ND.02.06.12.00"/>
          <xsd:enumeration value="ND.02.07.01.00"/>
          <xsd:enumeration value="ND.02.07.02.00"/>
          <xsd:enumeration value="ND.02.07.03.00"/>
          <xsd:enumeration value="ND.02.07.04.00"/>
          <xsd:enumeration value="ND.02.07.05.00"/>
          <xsd:enumeration value="ND.02.07.06.00"/>
          <xsd:enumeration value="ND.02.07.07.00"/>
          <xsd:enumeration value="ND.02.07.08.00"/>
          <xsd:enumeration value="ND.02.07.09.00"/>
          <xsd:enumeration value="ND.02.07.10.00"/>
          <xsd:enumeration value="ND.02.07.11.00"/>
          <xsd:enumeration value="ND.02.07.12.00"/>
          <xsd:enumeration value="ND.02.08.01.00"/>
          <xsd:enumeration value="ND.02.08.02.00"/>
          <xsd:enumeration value="ND.02.08.03.00"/>
          <xsd:enumeration value="ND.02.08.04.00"/>
          <xsd:enumeration value="ND.02.08.05.00"/>
          <xsd:enumeration value="ND.02.08.06.00"/>
          <xsd:enumeration value="ND.02.08.07.00"/>
          <xsd:enumeration value="ND.02.08.08.00"/>
          <xsd:enumeration value="ND.02.08.09.00"/>
          <xsd:enumeration value="ND.02.08.10.00"/>
          <xsd:enumeration value="ND.02.08.11.00"/>
          <xsd:enumeration value="ND.02.08.12.00"/>
          <xsd:enumeration value="ND.02.09.01.00"/>
          <xsd:enumeration value="ND.02.09.02.00"/>
          <xsd:enumeration value="ND.02.09.03.00"/>
          <xsd:enumeration value="ND.02.09.04.00"/>
          <xsd:enumeration value="ND.02.09.05.00"/>
          <xsd:enumeration value="ND.02.09.06.00"/>
          <xsd:enumeration value="ND.02.09.07.00"/>
          <xsd:enumeration value="ND.02.09.08.00"/>
          <xsd:enumeration value="ND.02.09.09.00"/>
          <xsd:enumeration value="ND.02.09.10.00"/>
          <xsd:enumeration value="ND.02.09.11.00"/>
          <xsd:enumeration value="ND.02.09.12.00"/>
          <xsd:enumeration value="ND.02.10.01.00"/>
          <xsd:enumeration value="ND.02.10.02.00"/>
          <xsd:enumeration value="ND.02.10.03.00"/>
          <xsd:enumeration value="ND.02.10.04.00"/>
          <xsd:enumeration value="ND.02.10.05.00"/>
          <xsd:enumeration value="ND.02.10.06.00"/>
          <xsd:enumeration value="ND.02.10.07.00"/>
          <xsd:enumeration value="ND.02.10.08.00"/>
          <xsd:enumeration value="ND.02.10.09.00"/>
          <xsd:enumeration value="ND.02.10.10.00"/>
          <xsd:enumeration value="ND.02.10.11.00"/>
          <xsd:enumeration value="ND.02.10.12.00"/>
          <xsd:enumeration value="ND.02.11.01.00"/>
          <xsd:enumeration value="ND.02.11.02.00"/>
          <xsd:enumeration value="ND.02.11.03.00"/>
          <xsd:enumeration value="ND.02.11.04.00"/>
          <xsd:enumeration value="ND.02.11.05.00"/>
          <xsd:enumeration value="ND.02.11.06.00"/>
          <xsd:enumeration value="ND.02.11.07.00"/>
          <xsd:enumeration value="ND.02.11.08.00"/>
          <xsd:enumeration value="ND.02.11.09.00"/>
          <xsd:enumeration value="ND.02.11.10.00"/>
          <xsd:enumeration value="ND.02.11.11.00"/>
          <xsd:enumeration value="ND.02.11.12.00"/>
          <xsd:enumeration value="ND.02.12.01.00"/>
          <xsd:enumeration value="ND.02.12.02.00"/>
          <xsd:enumeration value="ND.02.12.03.00"/>
          <xsd:enumeration value="ND.02.12.04.00"/>
          <xsd:enumeration value="ND.02.12.05.00"/>
          <xsd:enumeration value="ND.02.12.06.00"/>
          <xsd:enumeration value="ND.02.12.07.00"/>
          <xsd:enumeration value="ND.02.12.08.00"/>
          <xsd:enumeration value="ND.02.12.09.00"/>
          <xsd:enumeration value="ND.02.12.10.00"/>
          <xsd:enumeration value="ND.02.12.11.00"/>
          <xsd:enumeration value="ND.02.12.12.00"/>
        </xsd:restriction>
      </xsd:simpleType>
    </xsd:element>
    <xsd:element name="Release_x0020_Date" ma:index="3" nillable="true" ma:displayName="Release Date" ma:format="DateOnly" ma:internalName="Release_x0020_Date" ma:readOnly="false">
      <xsd:simpleType>
        <xsd:restriction base="dms:DateTime"/>
      </xsd:simpleType>
    </xsd:element>
    <xsd:element name="Archive" ma:index="4" nillable="true" ma:displayName="Archive" ma:list="{2041dca0-d6fb-4622-9442-abb461d1db75}" ma:internalName="Archive" ma:readOnly="false" ma:showField="Title">
      <xsd:simpleType>
        <xsd:restriction base="dms:Lookup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Archive xmlns="91074958-71a0-494a-bd61-96ee413a9f99" xsi:nil="true"/>
    <Release xmlns="91074958-71a0-494a-bd61-96ee413a9f99">Release Calendar</Release>
    <Release_x0020_Date xmlns="91074958-71a0-494a-bd61-96ee413a9f99">2025-11-10T06:00:00+00:00</Release_x0020_Date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328BA4-27A9-445A-8E83-DB7C9E5DBD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3C9A3E-69DE-4682-B2C8-BBC628E23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1074958-71a0-494a-bd61-96ee413a9f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B0B6A1-452A-443B-A047-15325ECC796F}">
  <ds:schemaRefs>
    <ds:schemaRef ds:uri="http://schemas.openxmlformats.org/package/2006/metadata/core-propertie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91074958-71a0-494a-bd61-96ee413a9f99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ND Release Plan and Release Calendar_11102025</dc:title>
  <dc:subject/>
  <dc:creator>Apache POI</dc:creator>
  <cp:keywords/>
  <dc:description/>
  <cp:lastModifiedBy>Khamari, Anil Kumar (External)</cp:lastModifiedBy>
  <cp:revision/>
  <dcterms:created xsi:type="dcterms:W3CDTF">2022-10-17T18:03:54Z</dcterms:created>
  <dcterms:modified xsi:type="dcterms:W3CDTF">2025-11-12T09:05:25Z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0x010100F7DC4BF28E49D54A8DE11999C25BB3BB</vt:lpwstr>
  </property>
</Properties>
</file>